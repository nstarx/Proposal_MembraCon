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M:\22 Innovation\Membracon AI Initiative\Proposals - Estimating\"/>
    </mc:Choice>
  </mc:AlternateContent>
  <xr:revisionPtr revIDLastSave="0" documentId="13_ncr:1_{3762076F-5562-4EDC-8216-27A06DCCF061}" xr6:coauthVersionLast="47" xr6:coauthVersionMax="47" xr10:uidLastSave="{00000000-0000-0000-0000-000000000000}"/>
  <bookViews>
    <workbookView xWindow="-110" yWindow="-110" windowWidth="19420" windowHeight="10300" tabRatio="612" activeTab="1" xr2:uid="{00000000-000D-0000-FFFF-FFFF00000000}"/>
  </bookViews>
  <sheets>
    <sheet name="Summary" sheetId="10" r:id="rId1"/>
    <sheet name="RO" sheetId="6" r:id="rId2"/>
    <sheet name="Labour" sheetId="20" r:id="rId3"/>
    <sheet name="ecosoft Quote" sheetId="7" r:id="rId4"/>
    <sheet name="P&amp;ID" sheetId="17" r:id="rId5"/>
    <sheet name="Sheet1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6" l="1"/>
  <c r="G37" i="20"/>
  <c r="G18" i="6"/>
  <c r="G25" i="6"/>
  <c r="G16" i="6"/>
  <c r="G27" i="6"/>
  <c r="G30" i="6"/>
  <c r="G29" i="6"/>
  <c r="G28" i="6"/>
  <c r="G12" i="6"/>
  <c r="I12" i="6" s="1"/>
  <c r="G15" i="6"/>
  <c r="G34" i="6"/>
  <c r="H13" i="20"/>
  <c r="H14" i="20" s="1"/>
  <c r="M51" i="20"/>
  <c r="M52" i="20" s="1"/>
  <c r="G45" i="20"/>
  <c r="I45" i="20" s="1"/>
  <c r="G44" i="20"/>
  <c r="G43" i="20"/>
  <c r="G42" i="20"/>
  <c r="G41" i="20"/>
  <c r="G40" i="20"/>
  <c r="G39" i="20"/>
  <c r="G38" i="20"/>
  <c r="G35" i="20"/>
  <c r="G34" i="20"/>
  <c r="I34" i="20" s="1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I12" i="20"/>
  <c r="G12" i="20"/>
  <c r="G11" i="20"/>
  <c r="L3" i="10"/>
  <c r="G17" i="6"/>
  <c r="G14" i="6"/>
  <c r="G23" i="6"/>
  <c r="G22" i="6"/>
  <c r="G21" i="6"/>
  <c r="G37" i="6"/>
  <c r="G13" i="6"/>
  <c r="G19" i="6"/>
  <c r="G20" i="6"/>
  <c r="G24" i="6"/>
  <c r="G26" i="6"/>
  <c r="G33" i="6"/>
  <c r="G36" i="6"/>
  <c r="G39" i="6"/>
  <c r="G51" i="6"/>
  <c r="G50" i="6"/>
  <c r="G49" i="6"/>
  <c r="G48" i="6"/>
  <c r="G47" i="6"/>
  <c r="G46" i="6"/>
  <c r="G45" i="6"/>
  <c r="G44" i="6"/>
  <c r="G43" i="6"/>
  <c r="G42" i="6"/>
  <c r="I13" i="20" l="1"/>
  <c r="I13" i="6"/>
  <c r="H14" i="6"/>
  <c r="I14" i="6" s="1"/>
  <c r="H15" i="20"/>
  <c r="I14" i="20"/>
  <c r="I15" i="20"/>
  <c r="H16" i="20"/>
  <c r="H35" i="20"/>
  <c r="G46" i="20"/>
  <c r="G51" i="20" s="1"/>
  <c r="C4" i="10" s="1"/>
  <c r="I11" i="20"/>
  <c r="M53" i="20"/>
  <c r="G38" i="6"/>
  <c r="G35" i="6"/>
  <c r="H15" i="6" l="1"/>
  <c r="I15" i="6" s="1"/>
  <c r="H36" i="20"/>
  <c r="I35" i="20"/>
  <c r="I16" i="20"/>
  <c r="H17" i="20"/>
  <c r="H42" i="6" l="1"/>
  <c r="H43" i="6" s="1"/>
  <c r="H16" i="6"/>
  <c r="I16" i="6" s="1"/>
  <c r="H18" i="20"/>
  <c r="I17" i="20"/>
  <c r="H37" i="20"/>
  <c r="I36" i="20"/>
  <c r="I42" i="6" l="1"/>
  <c r="H17" i="6"/>
  <c r="I17" i="6" s="1"/>
  <c r="H38" i="20"/>
  <c r="I37" i="20"/>
  <c r="H19" i="20"/>
  <c r="I18" i="20"/>
  <c r="I43" i="6"/>
  <c r="H44" i="6"/>
  <c r="H18" i="6" l="1"/>
  <c r="I18" i="6" s="1"/>
  <c r="I19" i="20"/>
  <c r="H20" i="20"/>
  <c r="H39" i="20"/>
  <c r="I38" i="20"/>
  <c r="I44" i="6"/>
  <c r="H45" i="6"/>
  <c r="M58" i="6"/>
  <c r="M60" i="6" s="1"/>
  <c r="G52" i="6"/>
  <c r="I52" i="6" s="1"/>
  <c r="G41" i="6"/>
  <c r="I41" i="6" s="1"/>
  <c r="G11" i="6"/>
  <c r="I11" i="6" s="1"/>
  <c r="H19" i="6" l="1"/>
  <c r="I19" i="6" s="1"/>
  <c r="I39" i="20"/>
  <c r="H40" i="20"/>
  <c r="I20" i="20"/>
  <c r="H21" i="20"/>
  <c r="H46" i="6"/>
  <c r="I45" i="6"/>
  <c r="M59" i="6"/>
  <c r="G53" i="6"/>
  <c r="G58" i="6" s="1"/>
  <c r="C3" i="10" s="1"/>
  <c r="C5" i="10" s="1"/>
  <c r="H20" i="6" l="1"/>
  <c r="I20" i="6" s="1"/>
  <c r="H22" i="20"/>
  <c r="I21" i="20"/>
  <c r="H41" i="20"/>
  <c r="I40" i="20"/>
  <c r="H47" i="6"/>
  <c r="I46" i="6"/>
  <c r="H21" i="6" l="1"/>
  <c r="I21" i="6" s="1"/>
  <c r="H42" i="20"/>
  <c r="I41" i="20"/>
  <c r="H23" i="20"/>
  <c r="I22" i="20"/>
  <c r="I47" i="6"/>
  <c r="H48" i="6"/>
  <c r="H22" i="6" l="1"/>
  <c r="I22" i="6" s="1"/>
  <c r="I23" i="20"/>
  <c r="H24" i="20"/>
  <c r="H43" i="20"/>
  <c r="I42" i="20"/>
  <c r="I48" i="6"/>
  <c r="H49" i="6"/>
  <c r="H23" i="6" l="1"/>
  <c r="I23" i="6" s="1"/>
  <c r="I43" i="20"/>
  <c r="H44" i="20"/>
  <c r="I44" i="20" s="1"/>
  <c r="H25" i="20"/>
  <c r="I24" i="20"/>
  <c r="H50" i="6"/>
  <c r="I49" i="6"/>
  <c r="H24" i="6" l="1"/>
  <c r="I24" i="6" s="1"/>
  <c r="H26" i="20"/>
  <c r="I25" i="20"/>
  <c r="H51" i="6"/>
  <c r="I51" i="6" s="1"/>
  <c r="I50" i="6"/>
  <c r="H25" i="6" l="1"/>
  <c r="I25" i="6" s="1"/>
  <c r="H27" i="20"/>
  <c r="I26" i="20"/>
  <c r="H26" i="6" l="1"/>
  <c r="I27" i="20"/>
  <c r="H28" i="20"/>
  <c r="I26" i="6" l="1"/>
  <c r="H27" i="6"/>
  <c r="H33" i="6"/>
  <c r="I33" i="6" s="1"/>
  <c r="I28" i="20"/>
  <c r="H29" i="20"/>
  <c r="H28" i="6" l="1"/>
  <c r="I27" i="6"/>
  <c r="H34" i="6"/>
  <c r="I34" i="6" s="1"/>
  <c r="H35" i="6"/>
  <c r="I35" i="6" s="1"/>
  <c r="H30" i="20"/>
  <c r="I29" i="20"/>
  <c r="H29" i="6" l="1"/>
  <c r="I28" i="6"/>
  <c r="H36" i="6"/>
  <c r="I36" i="6" s="1"/>
  <c r="I30" i="20"/>
  <c r="H31" i="20"/>
  <c r="H30" i="6" l="1"/>
  <c r="I30" i="6" s="1"/>
  <c r="I29" i="6"/>
  <c r="H37" i="6"/>
  <c r="I37" i="6" s="1"/>
  <c r="I31" i="20"/>
  <c r="H32" i="20"/>
  <c r="I32" i="20" s="1"/>
  <c r="H38" i="6" l="1"/>
  <c r="I38" i="6" s="1"/>
  <c r="I46" i="20"/>
  <c r="H39" i="6" l="1"/>
  <c r="I39" i="6" s="1"/>
  <c r="I49" i="20"/>
  <c r="I48" i="20"/>
  <c r="I50" i="20" s="1"/>
  <c r="I53" i="6" l="1"/>
  <c r="I51" i="20"/>
  <c r="D4" i="10" s="1"/>
  <c r="I56" i="6" l="1"/>
  <c r="I55" i="6"/>
  <c r="I57" i="6" s="1"/>
  <c r="I53" i="20"/>
  <c r="F4" i="10" s="1"/>
  <c r="I52" i="20"/>
  <c r="E4" i="10" s="1"/>
  <c r="I58" i="6" l="1"/>
  <c r="I60" i="6" s="1"/>
  <c r="F3" i="10" s="1"/>
  <c r="F5" i="10" s="1"/>
  <c r="D3" i="10" l="1"/>
  <c r="D5" i="10" s="1"/>
  <c r="D6" i="10" s="1"/>
  <c r="I59" i="6"/>
  <c r="E3" i="10" s="1"/>
  <c r="E5" i="10" s="1"/>
  <c r="K4" i="10" l="1"/>
  <c r="K5" i="10" s="1"/>
  <c r="I4" i="10"/>
  <c r="I5" i="10" s="1"/>
  <c r="H4" i="10"/>
  <c r="J4" i="10"/>
  <c r="J5" i="10" s="1"/>
  <c r="L4" i="10" l="1"/>
  <c r="L5" i="10" s="1"/>
  <c r="H5" i="10"/>
</calcChain>
</file>

<file path=xl/sharedStrings.xml><?xml version="1.0" encoding="utf-8"?>
<sst xmlns="http://schemas.openxmlformats.org/spreadsheetml/2006/main" count="217" uniqueCount="91">
  <si>
    <t>%</t>
  </si>
  <si>
    <t>Quote No:</t>
  </si>
  <si>
    <t>Date:</t>
  </si>
  <si>
    <t>Customer:</t>
  </si>
  <si>
    <t>Description:</t>
  </si>
  <si>
    <t>SO No:</t>
  </si>
  <si>
    <t>Contact:</t>
  </si>
  <si>
    <t>Sales Value:</t>
  </si>
  <si>
    <t>Project Management Sheet</t>
  </si>
  <si>
    <t>Customer discount</t>
  </si>
  <si>
    <t>Commissioning</t>
  </si>
  <si>
    <t>Site surveys</t>
  </si>
  <si>
    <t>Site management</t>
  </si>
  <si>
    <t>Design</t>
  </si>
  <si>
    <t>Project management</t>
  </si>
  <si>
    <t>Sub totals</t>
  </si>
  <si>
    <t>Item:</t>
  </si>
  <si>
    <t>Supplier:</t>
  </si>
  <si>
    <t>Estimated
price:
(each)</t>
  </si>
  <si>
    <t>Estimated
price:
(total)</t>
  </si>
  <si>
    <t>Total sell price:</t>
  </si>
  <si>
    <t>Totals:</t>
  </si>
  <si>
    <t>Originator:</t>
  </si>
  <si>
    <t>Customer's P.O.:</t>
  </si>
  <si>
    <t>P.O. no.:</t>
  </si>
  <si>
    <t>P.O.
value:</t>
  </si>
  <si>
    <t>Est.
delivery:</t>
  </si>
  <si>
    <t>Date
delivered:</t>
  </si>
  <si>
    <t>as %:</t>
  </si>
  <si>
    <t>as £:</t>
  </si>
  <si>
    <t>Actual GP</t>
  </si>
  <si>
    <t>Estimated GP (sell - cost)</t>
  </si>
  <si>
    <t>Estimated GP ((sell - cost) ÷ sell))</t>
  </si>
  <si>
    <t>man days</t>
  </si>
  <si>
    <t>Contingency</t>
  </si>
  <si>
    <t>On site - mechanical</t>
  </si>
  <si>
    <t>On site - electrical</t>
  </si>
  <si>
    <t>Operating manual &amp; documentation</t>
  </si>
  <si>
    <t>SOXXXX</t>
  </si>
  <si>
    <t>[PO_Number]</t>
  </si>
  <si>
    <t>[Contact_Name]</t>
  </si>
  <si>
    <t>Overnight Accomodation</t>
  </si>
  <si>
    <t>Hotel Rooms</t>
  </si>
  <si>
    <t>Milaege</t>
  </si>
  <si>
    <t>Part no:</t>
  </si>
  <si>
    <t>Qty:</t>
  </si>
  <si>
    <t>Equipment:</t>
  </si>
  <si>
    <t>Estimate sheet.</t>
  </si>
  <si>
    <t>Labour:</t>
  </si>
  <si>
    <t>Sisman</t>
  </si>
  <si>
    <t>m3/hr</t>
  </si>
  <si>
    <t>Delivery</t>
  </si>
  <si>
    <t>RO Membranes</t>
  </si>
  <si>
    <t>J&amp;F - Ecosoft</t>
  </si>
  <si>
    <t>Hardware</t>
  </si>
  <si>
    <t>Shipping</t>
  </si>
  <si>
    <t>£0.45 per mile</t>
  </si>
  <si>
    <t>Social Impact</t>
  </si>
  <si>
    <t>Order RO</t>
  </si>
  <si>
    <t>Order Container</t>
  </si>
  <si>
    <t>Order Placement Invoice</t>
  </si>
  <si>
    <t>FAT</t>
  </si>
  <si>
    <t>Electical</t>
  </si>
  <si>
    <t>CSS Renewables</t>
  </si>
  <si>
    <t>Ion Exchange</t>
  </si>
  <si>
    <t>Materials Assembley / Pipework</t>
  </si>
  <si>
    <t>4m3/hr</t>
  </si>
  <si>
    <t>RO MO3</t>
  </si>
  <si>
    <t>RO MO2</t>
  </si>
  <si>
    <t>Perm Flush</t>
  </si>
  <si>
    <t>Chemicals</t>
  </si>
  <si>
    <t>5 m3</t>
  </si>
  <si>
    <t>Buffer Tanks</t>
  </si>
  <si>
    <t>Booster/Transfer pump</t>
  </si>
  <si>
    <t>18 x 65 CIF Carbon Unit</t>
  </si>
  <si>
    <t>1" Bypass Valve</t>
  </si>
  <si>
    <t>WS1 No Hard Water Bypass Valve - F x Male</t>
  </si>
  <si>
    <t>WS1 Bypass Adaptor Assembly</t>
  </si>
  <si>
    <t>Dosing station Grundomat DDC120</t>
  </si>
  <si>
    <t>Permeate Rinsing Option for MO1-MO4</t>
  </si>
  <si>
    <t>14" x 65" Tank Kit, 1" Distributor Head c/w De-min</t>
  </si>
  <si>
    <t>NaOH (sodium hydroxide) dosing</t>
  </si>
  <si>
    <t>Ready to ship</t>
  </si>
  <si>
    <t>On PO</t>
  </si>
  <si>
    <t>Drawing app</t>
  </si>
  <si>
    <t>Labour</t>
  </si>
  <si>
    <t>Enduramaxx 10000 Litre Vertical Potable Water Tank</t>
  </si>
  <si>
    <t>Enduramaxx 5000 Litre Vertical Potable Water Tank</t>
  </si>
  <si>
    <t>Transfer Pump</t>
  </si>
  <si>
    <t>pH Controler</t>
  </si>
  <si>
    <t>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</si>
</sst>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;@"/>
    <numFmt numFmtId="165" formatCode="[$£-809]#,##0.00"/>
    <numFmt numFmtId="166" formatCode="0.0"/>
    <numFmt numFmtId="167" formatCode="&quot;£&quot;#,##0.00"/>
    <numFmt numFmtId="168" formatCode="0.00;[Red]0.00"/>
  </numFmts>
  <fonts count="13" x14ac:knownFonts="1">
    <font>
      <sz val="10"/>
      <name val="Arial"/>
    </font>
    <font>
      <sz val="10"/>
      <name val="Readex Pro Light"/>
      <scheme val="minor"/>
    </font>
    <font>
      <b/>
      <sz val="14"/>
      <name val="Readex Pro Light"/>
      <scheme val="minor"/>
    </font>
    <font>
      <sz val="14"/>
      <name val="Readex Pro Light"/>
      <scheme val="minor"/>
    </font>
    <font>
      <b/>
      <sz val="10"/>
      <name val="Readex Pro Light"/>
      <scheme val="minor"/>
    </font>
    <font>
      <b/>
      <u/>
      <sz val="12"/>
      <color rgb="FFFF0000"/>
      <name val="Readex Pro Light"/>
      <scheme val="minor"/>
    </font>
    <font>
      <b/>
      <u/>
      <sz val="16"/>
      <name val="Quicksand"/>
      <scheme val="maj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2"/>
      <name val="Times New Roman"/>
      <family val="1"/>
    </font>
    <font>
      <sz val="10"/>
      <color rgb="FFFF0000"/>
      <name val="Readex Pro Light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rgb="FF505050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73">
    <xf numFmtId="0" fontId="0" fillId="0" borderId="0" xfId="0"/>
    <xf numFmtId="0" fontId="1" fillId="0" borderId="2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7" xfId="0" applyFont="1" applyBorder="1"/>
    <xf numFmtId="0" fontId="1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0" xfId="0" applyFont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9" fontId="4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right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44" fontId="1" fillId="0" borderId="18" xfId="0" applyNumberFormat="1" applyFont="1" applyBorder="1"/>
    <xf numFmtId="0" fontId="1" fillId="0" borderId="0" xfId="0" applyFont="1" applyAlignment="1">
      <alignment horizontal="centerContinuous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2" xfId="0" applyFont="1" applyBorder="1" applyAlignment="1">
      <alignment horizontal="center" vertical="center" wrapText="1"/>
    </xf>
    <xf numFmtId="4" fontId="1" fillId="0" borderId="1" xfId="0" applyNumberFormat="1" applyFont="1" applyBorder="1" applyAlignment="1" applyProtection="1">
      <alignment horizontal="right" vertical="center"/>
      <protection locked="0"/>
    </xf>
    <xf numFmtId="166" fontId="1" fillId="0" borderId="1" xfId="0" applyNumberFormat="1" applyFont="1" applyBorder="1" applyAlignment="1" applyProtection="1">
      <alignment horizontal="center" vertical="center"/>
      <protection locked="0"/>
    </xf>
    <xf numFmtId="4" fontId="1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4" fontId="1" fillId="0" borderId="1" xfId="0" applyNumberFormat="1" applyFont="1" applyBorder="1" applyAlignment="1" applyProtection="1">
      <alignment horizontal="right" vertical="center" wrapText="1"/>
      <protection locked="0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43" fontId="1" fillId="0" borderId="1" xfId="0" applyNumberFormat="1" applyFont="1" applyBorder="1" applyAlignment="1" applyProtection="1">
      <alignment horizontal="right" vertical="center"/>
      <protection locked="0"/>
    </xf>
    <xf numFmtId="4" fontId="4" fillId="0" borderId="1" xfId="0" applyNumberFormat="1" applyFont="1" applyBorder="1" applyAlignment="1" applyProtection="1">
      <alignment horizontal="right" vertical="center"/>
      <protection locked="0"/>
    </xf>
    <xf numFmtId="166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9" xfId="0" applyNumberFormat="1" applyFont="1" applyBorder="1" applyAlignment="1" applyProtection="1">
      <alignment horizontal="right" vertical="center"/>
      <protection locked="0"/>
    </xf>
    <xf numFmtId="166" fontId="1" fillId="0" borderId="9" xfId="0" applyNumberFormat="1" applyFont="1" applyBorder="1" applyAlignment="1" applyProtection="1">
      <alignment horizontal="center" vertical="center"/>
      <protection locked="0"/>
    </xf>
    <xf numFmtId="4" fontId="4" fillId="0" borderId="9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164" fontId="1" fillId="0" borderId="11" xfId="0" applyNumberFormat="1" applyFont="1" applyBorder="1" applyAlignment="1" applyProtection="1">
      <alignment horizontal="center" vertical="center" wrapText="1"/>
      <protection locked="0"/>
    </xf>
    <xf numFmtId="4" fontId="1" fillId="0" borderId="11" xfId="0" applyNumberFormat="1" applyFont="1" applyBorder="1" applyAlignment="1" applyProtection="1">
      <alignment horizontal="right" vertical="center" wrapText="1"/>
      <protection locked="0"/>
    </xf>
    <xf numFmtId="164" fontId="1" fillId="0" borderId="1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 applyProtection="1">
      <alignment vertical="center"/>
      <protection locked="0"/>
    </xf>
    <xf numFmtId="0" fontId="1" fillId="0" borderId="21" xfId="0" applyFont="1" applyBorder="1" applyAlignment="1">
      <alignment vertical="center"/>
    </xf>
    <xf numFmtId="165" fontId="4" fillId="0" borderId="14" xfId="0" applyNumberFormat="1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165" fontId="4" fillId="0" borderId="20" xfId="0" applyNumberFormat="1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165" fontId="4" fillId="0" borderId="15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left" vertical="center"/>
    </xf>
    <xf numFmtId="10" fontId="4" fillId="0" borderId="28" xfId="0" applyNumberFormat="1" applyFont="1" applyBorder="1" applyAlignment="1">
      <alignment horizontal="right" vertical="center"/>
    </xf>
    <xf numFmtId="10" fontId="4" fillId="0" borderId="15" xfId="0" applyNumberFormat="1" applyFont="1" applyBorder="1" applyAlignment="1">
      <alignment horizontal="right" vertical="center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right" vertical="center"/>
      <protection locked="0"/>
    </xf>
    <xf numFmtId="0" fontId="4" fillId="0" borderId="14" xfId="0" applyFont="1" applyBorder="1" applyAlignment="1">
      <alignment vertical="center"/>
    </xf>
    <xf numFmtId="4" fontId="4" fillId="0" borderId="14" xfId="0" applyNumberFormat="1" applyFont="1" applyBorder="1" applyAlignment="1">
      <alignment horizontal="left" vertical="center"/>
    </xf>
    <xf numFmtId="165" fontId="5" fillId="0" borderId="2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3" borderId="3" xfId="0" applyFont="1" applyFill="1" applyBorder="1"/>
    <xf numFmtId="0" fontId="1" fillId="0" borderId="2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left" vertical="center"/>
    </xf>
    <xf numFmtId="167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7" fillId="0" borderId="1" xfId="0" applyFont="1" applyBorder="1"/>
    <xf numFmtId="0" fontId="8" fillId="0" borderId="0" xfId="2"/>
    <xf numFmtId="0" fontId="0" fillId="0" borderId="1" xfId="0" applyBorder="1"/>
    <xf numFmtId="0" fontId="7" fillId="5" borderId="1" xfId="0" applyFont="1" applyFill="1" applyBorder="1"/>
    <xf numFmtId="0" fontId="0" fillId="6" borderId="1" xfId="0" applyFill="1" applyBorder="1"/>
    <xf numFmtId="0" fontId="11" fillId="0" borderId="0" xfId="0" applyFont="1" applyAlignment="1">
      <alignment vertical="center" wrapText="1"/>
    </xf>
    <xf numFmtId="4" fontId="1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3" fontId="1" fillId="4" borderId="1" xfId="0" applyNumberFormat="1" applyFont="1" applyFill="1" applyBorder="1" applyAlignment="1" applyProtection="1">
      <alignment horizontal="right" vertical="center"/>
      <protection locked="0"/>
    </xf>
    <xf numFmtId="9" fontId="0" fillId="4" borderId="9" xfId="1" applyFont="1" applyFill="1" applyBorder="1" applyAlignment="1">
      <alignment horizontal="left"/>
    </xf>
    <xf numFmtId="9" fontId="0" fillId="4" borderId="1" xfId="1" applyFon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10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7" fontId="0" fillId="4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167" fontId="9" fillId="0" borderId="1" xfId="0" applyNumberFormat="1" applyFont="1" applyBorder="1" applyAlignment="1">
      <alignment horizontal="left"/>
    </xf>
    <xf numFmtId="167" fontId="9" fillId="4" borderId="1" xfId="0" applyNumberFormat="1" applyFont="1" applyFill="1" applyBorder="1" applyAlignment="1">
      <alignment horizontal="left"/>
    </xf>
    <xf numFmtId="9" fontId="9" fillId="0" borderId="1" xfId="0" applyNumberFormat="1" applyFont="1" applyBorder="1" applyAlignment="1">
      <alignment horizontal="left"/>
    </xf>
    <xf numFmtId="0" fontId="1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 applyProtection="1">
      <alignment horizontal="right" vertical="center"/>
      <protection locked="0"/>
    </xf>
    <xf numFmtId="166" fontId="1" fillId="4" borderId="1" xfId="0" applyNumberFormat="1" applyFont="1" applyFill="1" applyBorder="1" applyAlignment="1" applyProtection="1">
      <alignment horizontal="center" vertical="center"/>
      <protection locked="0"/>
    </xf>
    <xf numFmtId="167" fontId="1" fillId="4" borderId="1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left" vertical="center"/>
    </xf>
    <xf numFmtId="4" fontId="1" fillId="7" borderId="1" xfId="0" applyNumberFormat="1" applyFont="1" applyFill="1" applyBorder="1" applyAlignment="1" applyProtection="1">
      <alignment horizontal="right" vertical="center"/>
      <protection locked="0"/>
    </xf>
    <xf numFmtId="4" fontId="12" fillId="0" borderId="1" xfId="0" applyNumberFormat="1" applyFont="1" applyBorder="1" applyAlignment="1">
      <alignment horizontal="left" vertical="center"/>
    </xf>
    <xf numFmtId="4" fontId="12" fillId="4" borderId="1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top" wrapText="1"/>
    </xf>
    <xf numFmtId="0" fontId="11" fillId="0" borderId="0" xfId="0" applyFont="1" applyAlignment="1">
      <alignment vertical="center" wrapText="1"/>
    </xf>
    <xf numFmtId="4" fontId="4" fillId="0" borderId="1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/>
    </xf>
    <xf numFmtId="4" fontId="1" fillId="0" borderId="18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 applyProtection="1">
      <alignment horizontal="center" vertical="center"/>
      <protection locked="0"/>
    </xf>
    <xf numFmtId="4" fontId="6" fillId="2" borderId="8" xfId="0" applyNumberFormat="1" applyFont="1" applyFill="1" applyBorder="1" applyAlignment="1" applyProtection="1">
      <alignment horizontal="center" vertical="center"/>
      <protection locked="0"/>
    </xf>
    <xf numFmtId="4" fontId="6" fillId="2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3" xfId="0" applyFont="1" applyBorder="1" applyAlignment="1">
      <alignment vertical="top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4" fontId="1" fillId="0" borderId="8" xfId="0" applyNumberFormat="1" applyFont="1" applyBorder="1" applyAlignment="1" applyProtection="1">
      <alignment horizontal="left"/>
      <protection locked="0"/>
    </xf>
    <xf numFmtId="14" fontId="1" fillId="0" borderId="2" xfId="0" applyNumberFormat="1" applyFont="1" applyBorder="1" applyAlignment="1" applyProtection="1">
      <alignment horizontal="left"/>
      <protection locked="0"/>
    </xf>
    <xf numFmtId="44" fontId="1" fillId="0" borderId="3" xfId="0" applyNumberFormat="1" applyFont="1" applyBorder="1" applyAlignment="1">
      <alignment horizontal="right"/>
    </xf>
    <xf numFmtId="44" fontId="1" fillId="0" borderId="8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2" xfId="0" applyFont="1" applyBorder="1" applyAlignment="1">
      <alignment vertical="top" wrapText="1"/>
    </xf>
    <xf numFmtId="0" fontId="1" fillId="0" borderId="10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3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733182</xdr:colOff>
      <xdr:row>8</xdr:row>
      <xdr:rowOff>84015</xdr:rowOff>
    </xdr:from>
    <xdr:to>
      <xdr:col>10</xdr:col>
      <xdr:colOff>406645</xdr:colOff>
      <xdr:row>30</xdr:row>
      <xdr:rowOff>55439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8977769-5264-DFA2-753B-36952C3FA900}"/>
            </a:ext>
          </a:extLst>
        </xdr:cNvPr>
        <xdr:cNvGrpSpPr/>
      </xdr:nvGrpSpPr>
      <xdr:grpSpPr>
        <a:xfrm>
          <a:off x="2595849" y="1495126"/>
          <a:ext cx="6340963" cy="3555646"/>
          <a:chOff x="1701800" y="1079500"/>
          <a:chExt cx="6029325" cy="3609975"/>
        </a:xfrm>
      </xdr:grpSpPr>
      <xdr:pic>
        <xdr:nvPicPr>
          <xdr:cNvPr id="5" name="Picture 4" descr="A machine and pipes in front of a blue container&#10;&#10;AI-generated content may be incorrect.">
            <a:extLst>
              <a:ext uri="{FF2B5EF4-FFF2-40B4-BE49-F238E27FC236}">
                <a16:creationId xmlns:a16="http://schemas.microsoft.com/office/drawing/2014/main" id="{B876AEF5-6478-5788-7712-AE0EE074D8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01800" y="1079500"/>
            <a:ext cx="6029325" cy="3609975"/>
          </a:xfrm>
          <a:prstGeom prst="rect">
            <a:avLst/>
          </a:prstGeom>
          <a:noFill/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5B62DF5-B587-E113-B44F-DA0E6D85CA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619" r="27338"/>
          <a:stretch>
            <a:fillRect/>
          </a:stretch>
        </xdr:blipFill>
        <xdr:spPr bwMode="auto">
          <a:xfrm>
            <a:off x="5619750" y="3251200"/>
            <a:ext cx="723353" cy="130048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30763D1A-6C88-4DB2-9AB1-19B0CA34BFE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619" r="27338"/>
          <a:stretch>
            <a:fillRect/>
          </a:stretch>
        </xdr:blipFill>
        <xdr:spPr bwMode="auto">
          <a:xfrm>
            <a:off x="1758950" y="3155950"/>
            <a:ext cx="723353" cy="130048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69851</xdr:rowOff>
    </xdr:from>
    <xdr:to>
      <xdr:col>2</xdr:col>
      <xdr:colOff>1340201</xdr:colOff>
      <xdr:row>2</xdr:row>
      <xdr:rowOff>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41F5AB7-0C99-47FF-B898-7B0DA4508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69851"/>
          <a:ext cx="1975201" cy="254000"/>
        </a:xfrm>
        <a:prstGeom prst="rect">
          <a:avLst/>
        </a:prstGeom>
      </xdr:spPr>
    </xdr:pic>
    <xdr:clientData/>
  </xdr:twoCellAnchor>
  <xdr:twoCellAnchor editAs="oneCell">
    <xdr:from>
      <xdr:col>15</xdr:col>
      <xdr:colOff>898072</xdr:colOff>
      <xdr:row>2</xdr:row>
      <xdr:rowOff>136072</xdr:rowOff>
    </xdr:from>
    <xdr:to>
      <xdr:col>15</xdr:col>
      <xdr:colOff>7388679</xdr:colOff>
      <xdr:row>54</xdr:row>
      <xdr:rowOff>51143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720A28-91A7-4F7B-B141-1569C867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9143" y="462643"/>
          <a:ext cx="6490607" cy="92931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69851</xdr:rowOff>
    </xdr:from>
    <xdr:to>
      <xdr:col>2</xdr:col>
      <xdr:colOff>1340201</xdr:colOff>
      <xdr:row>2</xdr:row>
      <xdr:rowOff>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4D6217F-964A-45DE-8B6E-6ED6B155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69851"/>
          <a:ext cx="1975201" cy="254000"/>
        </a:xfrm>
        <a:prstGeom prst="rect">
          <a:avLst/>
        </a:prstGeom>
      </xdr:spPr>
    </xdr:pic>
    <xdr:clientData/>
  </xdr:twoCellAnchor>
  <xdr:twoCellAnchor editAs="oneCell">
    <xdr:from>
      <xdr:col>15</xdr:col>
      <xdr:colOff>1514474</xdr:colOff>
      <xdr:row>6</xdr:row>
      <xdr:rowOff>20109</xdr:rowOff>
    </xdr:from>
    <xdr:to>
      <xdr:col>19</xdr:col>
      <xdr:colOff>62655</xdr:colOff>
      <xdr:row>27</xdr:row>
      <xdr:rowOff>142165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9694AB-AC29-42A9-B9B8-5120C4F8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299" y="1086909"/>
          <a:ext cx="8339881" cy="42178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50776</xdr:colOff>
      <xdr:row>54</xdr:row>
      <xdr:rowOff>63015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1F793-A445-2A35-A7AB-BE0532B1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19" y="1166813"/>
          <a:ext cx="5515745" cy="78973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38100</xdr:rowOff>
    </xdr:from>
    <xdr:to>
      <xdr:col>26</xdr:col>
      <xdr:colOff>221290</xdr:colOff>
      <xdr:row>39</xdr:row>
      <xdr:rowOff>10448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4B260F-5013-89FC-7007-589C2CB53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38100"/>
          <a:ext cx="15870865" cy="6611273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2</xdr:row>
      <xdr:rowOff>95250</xdr:rowOff>
    </xdr:from>
    <xdr:to>
      <xdr:col>26</xdr:col>
      <xdr:colOff>19050</xdr:colOff>
      <xdr:row>38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89833AA-B6E0-7C47-124A-0F152F30EEC6}"/>
            </a:ext>
          </a:extLst>
        </xdr:cNvPr>
        <xdr:cNvSpPr/>
      </xdr:nvSpPr>
      <xdr:spPr>
        <a:xfrm>
          <a:off x="3324225" y="419100"/>
          <a:ext cx="12544425" cy="61626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Membrac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3E5B"/>
      </a:accent1>
      <a:accent2>
        <a:srgbClr val="0086BE"/>
      </a:accent2>
      <a:accent3>
        <a:srgbClr val="009870"/>
      </a:accent3>
      <a:accent4>
        <a:srgbClr val="F7A600"/>
      </a:accent4>
      <a:accent5>
        <a:srgbClr val="A6D5C2"/>
      </a:accent5>
      <a:accent6>
        <a:srgbClr val="D8D4D3"/>
      </a:accent6>
      <a:hlink>
        <a:srgbClr val="0563C1"/>
      </a:hlink>
      <a:folHlink>
        <a:srgbClr val="954F72"/>
      </a:folHlink>
    </a:clrScheme>
    <a:fontScheme name="Membracon">
      <a:majorFont>
        <a:latin typeface="Quicksand"/>
        <a:ea typeface=""/>
        <a:cs typeface=""/>
      </a:majorFont>
      <a:minorFont>
        <a:latin typeface="Readex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403F-2E07-42AF-8345-CE0735142C5F}">
  <sheetPr>
    <tabColor rgb="FF00B050"/>
  </sheetPr>
  <dimension ref="B2:O20"/>
  <sheetViews>
    <sheetView showGridLines="0" topLeftCell="A3" zoomScale="90" zoomScaleNormal="90" workbookViewId="0">
      <selection activeCell="D4" sqref="D4"/>
    </sheetView>
  </sheetViews>
  <sheetFormatPr defaultRowHeight="12.5" x14ac:dyDescent="0.25"/>
  <cols>
    <col min="2" max="2" width="18" customWidth="1"/>
    <col min="3" max="5" width="12.81640625" style="87" customWidth="1"/>
    <col min="6" max="6" width="5.81640625" customWidth="1"/>
    <col min="8" max="11" width="14.1796875" customWidth="1"/>
    <col min="12" max="12" width="12.26953125" customWidth="1"/>
    <col min="14" max="14" width="18.1796875" customWidth="1"/>
  </cols>
  <sheetData>
    <row r="2" spans="2:15" x14ac:dyDescent="0.25">
      <c r="H2" s="95" t="s">
        <v>83</v>
      </c>
      <c r="I2" s="95" t="s">
        <v>84</v>
      </c>
      <c r="J2" s="95" t="s">
        <v>82</v>
      </c>
      <c r="K2" s="95" t="s">
        <v>10</v>
      </c>
      <c r="L2" s="95"/>
    </row>
    <row r="3" spans="2:15" ht="15" customHeight="1" x14ac:dyDescent="0.25">
      <c r="B3" s="102" t="s">
        <v>54</v>
      </c>
      <c r="C3" s="100">
        <f>+RO!G58</f>
        <v>45246.97</v>
      </c>
      <c r="D3" s="103">
        <f>+RO!I58</f>
        <v>71942.6823</v>
      </c>
      <c r="E3" s="100">
        <f>+RO!I59</f>
        <v>26695.712299999999</v>
      </c>
      <c r="F3" s="99">
        <f>+RO!I60</f>
        <v>0.37106918238993708</v>
      </c>
      <c r="H3" s="97">
        <v>0.6</v>
      </c>
      <c r="I3" s="97">
        <v>0.2</v>
      </c>
      <c r="J3" s="97">
        <v>0.15</v>
      </c>
      <c r="K3" s="98">
        <v>0.05</v>
      </c>
      <c r="L3" s="99">
        <f>SUM(H3:K3)</f>
        <v>1</v>
      </c>
      <c r="O3" s="93"/>
    </row>
    <row r="4" spans="2:15" ht="15" customHeight="1" x14ac:dyDescent="0.25">
      <c r="B4" s="95" t="s">
        <v>85</v>
      </c>
      <c r="C4" s="100">
        <f>+Labour!G51</f>
        <v>7065</v>
      </c>
      <c r="D4" s="100">
        <f>+Labour!I51</f>
        <v>11589.425999999999</v>
      </c>
      <c r="E4" s="100">
        <f>+Labour!I52</f>
        <v>4524.4259999999995</v>
      </c>
      <c r="F4" s="99">
        <f>+Labour!I53</f>
        <v>0.39039258717386</v>
      </c>
      <c r="H4" s="100">
        <f>+D5*$H$3</f>
        <v>50119.264979999993</v>
      </c>
      <c r="I4" s="100">
        <f>+D5*$I$3</f>
        <v>16706.42166</v>
      </c>
      <c r="J4" s="100">
        <f>+D5*$J$3</f>
        <v>12529.816244999998</v>
      </c>
      <c r="K4" s="100">
        <f>+D5*$K$3</f>
        <v>4176.605415</v>
      </c>
      <c r="L4" s="100">
        <f>SUM(H4:K4)</f>
        <v>83532.108299999993</v>
      </c>
      <c r="O4" s="93"/>
    </row>
    <row r="5" spans="2:15" ht="15" customHeight="1" x14ac:dyDescent="0.3">
      <c r="B5" s="104"/>
      <c r="C5" s="105">
        <f>SUM(C3:C4)</f>
        <v>52311.97</v>
      </c>
      <c r="D5" s="106">
        <f>SUM(D3:D4)</f>
        <v>83532.108299999993</v>
      </c>
      <c r="E5" s="105">
        <f>SUM(E3:E4)</f>
        <v>31220.138299999999</v>
      </c>
      <c r="F5" s="107">
        <f>AVERAGE(F3:F4)</f>
        <v>0.38073088478189854</v>
      </c>
      <c r="H5" s="101">
        <f>SUM(H4:H4)</f>
        <v>50119.264979999993</v>
      </c>
      <c r="I5" s="101">
        <f>SUM(I4:I4)</f>
        <v>16706.42166</v>
      </c>
      <c r="J5" s="101">
        <f>SUM(J4:J4)</f>
        <v>12529.816244999998</v>
      </c>
      <c r="K5" s="101">
        <f>SUM(K4:K4)</f>
        <v>4176.605415</v>
      </c>
      <c r="L5" s="101">
        <f>SUM(L4:L4)</f>
        <v>83532.108299999993</v>
      </c>
      <c r="O5" s="93"/>
    </row>
    <row r="6" spans="2:15" ht="15" customHeight="1" x14ac:dyDescent="0.25">
      <c r="C6" s="87">
        <v>75640</v>
      </c>
      <c r="D6" s="87">
        <f>+C6-D5</f>
        <v>-7892.1082999999926</v>
      </c>
      <c r="O6" s="120"/>
    </row>
    <row r="7" spans="2:15" x14ac:dyDescent="0.25">
      <c r="O7" s="120"/>
    </row>
    <row r="8" spans="2:15" ht="12.75" customHeight="1" x14ac:dyDescent="0.25"/>
    <row r="9" spans="2:15" ht="12.75" customHeight="1" x14ac:dyDescent="0.25"/>
    <row r="10" spans="2:15" ht="12.75" customHeight="1" x14ac:dyDescent="0.25"/>
    <row r="11" spans="2:15" ht="14.25" customHeight="1" x14ac:dyDescent="0.25"/>
    <row r="13" spans="2:15" ht="12.75" customHeight="1" x14ac:dyDescent="0.25"/>
    <row r="14" spans="2:15" ht="12.75" customHeight="1" x14ac:dyDescent="0.25"/>
    <row r="15" spans="2:15" ht="12.75" customHeight="1" x14ac:dyDescent="0.25"/>
    <row r="16" spans="2:1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</sheetData>
  <mergeCells count="1">
    <mergeCell ref="O6:O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1B56-226A-4D8E-996D-4CAF155DE64B}">
  <dimension ref="A3:P61"/>
  <sheetViews>
    <sheetView showGridLines="0" showZeros="0" tabSelected="1" zoomScale="60" zoomScaleNormal="60" zoomScaleSheetLayoutView="98" workbookViewId="0">
      <selection activeCell="H13" sqref="H13"/>
    </sheetView>
  </sheetViews>
  <sheetFormatPr defaultColWidth="8.7265625" defaultRowHeight="20" x14ac:dyDescent="0.8"/>
  <cols>
    <col min="1" max="1" width="4.54296875" style="3" customWidth="1"/>
    <col min="2" max="2" width="7.1796875" style="3" customWidth="1"/>
    <col min="3" max="3" width="58.81640625" style="3" customWidth="1"/>
    <col min="4" max="4" width="15" style="18" customWidth="1"/>
    <col min="5" max="5" width="11.453125" style="3" customWidth="1"/>
    <col min="6" max="6" width="11.453125" style="25" customWidth="1"/>
    <col min="7" max="7" width="12.1796875" style="3" customWidth="1"/>
    <col min="8" max="8" width="9.7265625" style="3" bestFit="1" customWidth="1"/>
    <col min="9" max="9" width="14.453125" style="3" bestFit="1" customWidth="1"/>
    <col min="10" max="10" width="15.54296875" style="3" hidden="1" customWidth="1"/>
    <col min="11" max="11" width="8.7265625" style="3" hidden="1" customWidth="1"/>
    <col min="12" max="12" width="10" style="3" hidden="1" customWidth="1"/>
    <col min="13" max="13" width="13.26953125" style="3" hidden="1" customWidth="1"/>
    <col min="14" max="14" width="10" style="3" hidden="1" customWidth="1"/>
    <col min="15" max="15" width="2.81640625" style="3" hidden="1" customWidth="1"/>
    <col min="16" max="16" width="120.7265625" style="3" customWidth="1"/>
    <col min="17" max="16384" width="8.7265625" style="3"/>
  </cols>
  <sheetData>
    <row r="3" spans="1:16" ht="30.5" x14ac:dyDescent="1.1499999999999999">
      <c r="A3" s="82"/>
      <c r="B3" s="161" t="s">
        <v>47</v>
      </c>
      <c r="C3" s="161"/>
      <c r="D3" s="161"/>
      <c r="E3" s="161"/>
      <c r="F3" s="161"/>
      <c r="G3" s="161"/>
      <c r="H3" s="161"/>
      <c r="I3" s="162"/>
      <c r="J3" s="163" t="s">
        <v>8</v>
      </c>
      <c r="K3" s="163"/>
      <c r="L3" s="163"/>
      <c r="M3" s="163"/>
      <c r="N3" s="164"/>
      <c r="O3" s="165"/>
      <c r="P3" s="2"/>
    </row>
    <row r="4" spans="1:16" x14ac:dyDescent="0.8">
      <c r="A4" s="26" t="s">
        <v>3</v>
      </c>
      <c r="B4" s="27"/>
      <c r="C4" s="166" t="s">
        <v>63</v>
      </c>
      <c r="D4" s="147"/>
      <c r="E4" s="147"/>
      <c r="F4" s="148"/>
      <c r="G4" s="30" t="s">
        <v>1</v>
      </c>
      <c r="H4" s="169"/>
      <c r="I4" s="170"/>
      <c r="J4" s="4" t="s">
        <v>5</v>
      </c>
      <c r="K4" s="171" t="s">
        <v>38</v>
      </c>
      <c r="L4" s="172"/>
      <c r="M4" s="172"/>
      <c r="N4" s="5"/>
      <c r="O4" s="6"/>
    </row>
    <row r="5" spans="1:16" x14ac:dyDescent="0.8">
      <c r="A5" s="28"/>
      <c r="B5" s="29"/>
      <c r="C5" s="167"/>
      <c r="D5" s="167"/>
      <c r="E5" s="167"/>
      <c r="F5" s="168"/>
      <c r="G5" s="31" t="s">
        <v>22</v>
      </c>
      <c r="H5" s="151" t="s">
        <v>49</v>
      </c>
      <c r="I5" s="152"/>
      <c r="J5" s="1" t="s">
        <v>23</v>
      </c>
      <c r="K5" s="153" t="s">
        <v>39</v>
      </c>
      <c r="L5" s="154"/>
      <c r="M5" s="154"/>
      <c r="N5" s="7"/>
      <c r="O5" s="8"/>
    </row>
    <row r="6" spans="1:16" x14ac:dyDescent="0.8">
      <c r="A6" s="146" t="s">
        <v>4</v>
      </c>
      <c r="B6" s="146"/>
      <c r="C6" s="147"/>
      <c r="D6" s="147"/>
      <c r="E6" s="147"/>
      <c r="F6" s="148"/>
      <c r="G6" s="31" t="s">
        <v>2</v>
      </c>
      <c r="H6" s="151"/>
      <c r="I6" s="152"/>
      <c r="J6" s="1" t="s">
        <v>6</v>
      </c>
      <c r="K6" s="153" t="s">
        <v>40</v>
      </c>
      <c r="L6" s="154"/>
      <c r="M6" s="154"/>
      <c r="N6" s="7"/>
      <c r="O6" s="8"/>
    </row>
    <row r="7" spans="1:16" ht="18" customHeight="1" x14ac:dyDescent="0.8">
      <c r="A7" s="146"/>
      <c r="B7" s="146"/>
      <c r="C7" s="149"/>
      <c r="D7" s="149"/>
      <c r="E7" s="149"/>
      <c r="F7" s="150"/>
      <c r="G7" s="31" t="s">
        <v>6</v>
      </c>
      <c r="H7" s="155"/>
      <c r="I7" s="156"/>
      <c r="J7" s="1" t="s">
        <v>7</v>
      </c>
      <c r="K7" s="157"/>
      <c r="L7" s="158"/>
      <c r="M7" s="158"/>
      <c r="N7" s="9"/>
      <c r="O7" s="10"/>
    </row>
    <row r="8" spans="1:16" ht="12.75" customHeight="1" x14ac:dyDescent="0.8">
      <c r="A8" s="159"/>
      <c r="B8" s="142" t="s">
        <v>45</v>
      </c>
      <c r="C8" s="160" t="s">
        <v>16</v>
      </c>
      <c r="D8" s="139" t="s">
        <v>17</v>
      </c>
      <c r="E8" s="141" t="s">
        <v>44</v>
      </c>
      <c r="F8" s="139" t="s">
        <v>18</v>
      </c>
      <c r="G8" s="139" t="s">
        <v>19</v>
      </c>
      <c r="H8" s="141" t="s">
        <v>0</v>
      </c>
      <c r="I8" s="139" t="s">
        <v>20</v>
      </c>
      <c r="J8" s="143" t="s">
        <v>17</v>
      </c>
      <c r="K8" s="125" t="s">
        <v>24</v>
      </c>
      <c r="L8" s="145" t="s">
        <v>2</v>
      </c>
      <c r="M8" s="125" t="s">
        <v>25</v>
      </c>
      <c r="N8" s="126" t="s">
        <v>26</v>
      </c>
      <c r="O8" s="128" t="s">
        <v>27</v>
      </c>
    </row>
    <row r="9" spans="1:16" ht="49.5" customHeight="1" x14ac:dyDescent="0.8">
      <c r="A9" s="159"/>
      <c r="B9" s="160"/>
      <c r="C9" s="160"/>
      <c r="D9" s="142"/>
      <c r="E9" s="142"/>
      <c r="F9" s="142"/>
      <c r="G9" s="140"/>
      <c r="H9" s="142"/>
      <c r="I9" s="142"/>
      <c r="J9" s="144"/>
      <c r="K9" s="125"/>
      <c r="L9" s="126"/>
      <c r="M9" s="125"/>
      <c r="N9" s="127"/>
      <c r="O9" s="129"/>
    </row>
    <row r="10" spans="1:16" ht="25.5" customHeight="1" x14ac:dyDescent="0.8">
      <c r="A10" s="77"/>
      <c r="B10" s="130" t="s">
        <v>46</v>
      </c>
      <c r="C10" s="131"/>
      <c r="D10" s="131"/>
      <c r="E10" s="131"/>
      <c r="F10" s="131"/>
      <c r="G10" s="131"/>
      <c r="H10" s="131"/>
      <c r="I10" s="132"/>
      <c r="J10" s="78"/>
      <c r="K10" s="51"/>
      <c r="L10" s="79"/>
      <c r="M10" s="51"/>
      <c r="N10" s="80"/>
      <c r="O10" s="81"/>
    </row>
    <row r="11" spans="1:16" x14ac:dyDescent="0.8">
      <c r="A11" s="11"/>
      <c r="B11" s="12"/>
      <c r="C11" s="13"/>
      <c r="D11" s="32"/>
      <c r="E11" s="43" t="s">
        <v>50</v>
      </c>
      <c r="F11" s="33"/>
      <c r="G11" s="35">
        <f>F11*B11</f>
        <v>0</v>
      </c>
      <c r="H11" s="34"/>
      <c r="I11" s="35">
        <f t="shared" ref="I11" si="0">((H11/100)+1)*G11</f>
        <v>0</v>
      </c>
      <c r="J11" s="36"/>
      <c r="K11" s="37"/>
      <c r="L11" s="38"/>
      <c r="M11" s="39"/>
      <c r="N11" s="40"/>
      <c r="O11" s="86"/>
    </row>
    <row r="12" spans="1:16" x14ac:dyDescent="0.8">
      <c r="A12" s="11"/>
      <c r="B12" s="12">
        <v>1</v>
      </c>
      <c r="C12" s="13" t="s">
        <v>67</v>
      </c>
      <c r="D12" s="83" t="s">
        <v>53</v>
      </c>
      <c r="E12" s="43" t="s">
        <v>66</v>
      </c>
      <c r="F12" s="84">
        <v>9400</v>
      </c>
      <c r="G12" s="116">
        <f t="shared" ref="G12:G39" si="1">F12*B12</f>
        <v>9400</v>
      </c>
      <c r="H12" s="34">
        <v>50</v>
      </c>
      <c r="I12" s="85">
        <f>((H12/100)+1)*G12</f>
        <v>14100</v>
      </c>
      <c r="J12" s="36"/>
      <c r="K12" s="37"/>
      <c r="L12" s="38"/>
      <c r="M12" s="39"/>
      <c r="N12" s="40"/>
      <c r="O12" s="86"/>
    </row>
    <row r="13" spans="1:16" x14ac:dyDescent="0.8">
      <c r="A13" s="11"/>
      <c r="B13" s="12">
        <v>1</v>
      </c>
      <c r="C13" s="13" t="s">
        <v>68</v>
      </c>
      <c r="D13" s="83" t="s">
        <v>53</v>
      </c>
      <c r="E13" s="43"/>
      <c r="F13" s="84">
        <v>7583</v>
      </c>
      <c r="G13" s="116">
        <f t="shared" si="1"/>
        <v>7583</v>
      </c>
      <c r="H13" s="34">
        <f>+H12</f>
        <v>50</v>
      </c>
      <c r="I13" s="85">
        <f t="shared" ref="I13:I39" si="2">((H13/100)+1)*G13</f>
        <v>11374.5</v>
      </c>
      <c r="J13" s="36"/>
      <c r="K13" s="37"/>
      <c r="L13" s="38"/>
      <c r="M13" s="39"/>
      <c r="N13" s="40"/>
      <c r="O13" s="86"/>
    </row>
    <row r="14" spans="1:16" x14ac:dyDescent="0.8">
      <c r="A14" s="11"/>
      <c r="B14" s="12">
        <v>1</v>
      </c>
      <c r="C14" s="13" t="s">
        <v>79</v>
      </c>
      <c r="D14" s="83" t="s">
        <v>53</v>
      </c>
      <c r="E14" s="43"/>
      <c r="F14" s="84">
        <v>434</v>
      </c>
      <c r="G14" s="116">
        <f t="shared" ref="G14" si="3">F14*B14</f>
        <v>434</v>
      </c>
      <c r="H14" s="34">
        <f t="shared" ref="H14:H39" si="4">+H13</f>
        <v>50</v>
      </c>
      <c r="I14" s="85">
        <f t="shared" si="2"/>
        <v>651</v>
      </c>
      <c r="J14" s="36"/>
      <c r="K14" s="37"/>
      <c r="L14" s="38"/>
      <c r="M14" s="39"/>
      <c r="N14" s="40"/>
      <c r="O14" s="86"/>
    </row>
    <row r="15" spans="1:16" x14ac:dyDescent="0.8">
      <c r="A15" s="11"/>
      <c r="B15" s="12">
        <v>5</v>
      </c>
      <c r="C15" s="13" t="s">
        <v>52</v>
      </c>
      <c r="D15" s="83" t="s">
        <v>53</v>
      </c>
      <c r="E15" s="43"/>
      <c r="F15" s="84">
        <v>884</v>
      </c>
      <c r="G15" s="116">
        <f>F15*B15</f>
        <v>4420</v>
      </c>
      <c r="H15" s="34">
        <f t="shared" si="4"/>
        <v>50</v>
      </c>
      <c r="I15" s="85">
        <f t="shared" si="2"/>
        <v>6630</v>
      </c>
      <c r="J15" s="36"/>
      <c r="K15" s="37"/>
      <c r="L15" s="38"/>
      <c r="M15" s="39"/>
      <c r="N15" s="40"/>
      <c r="O15" s="86"/>
    </row>
    <row r="16" spans="1:16" x14ac:dyDescent="0.8">
      <c r="A16" s="11"/>
      <c r="B16" s="12">
        <v>1</v>
      </c>
      <c r="C16" s="13" t="s">
        <v>80</v>
      </c>
      <c r="D16" s="83" t="s">
        <v>53</v>
      </c>
      <c r="E16" s="43"/>
      <c r="F16" s="117">
        <v>600</v>
      </c>
      <c r="G16" s="33">
        <f t="shared" si="1"/>
        <v>600</v>
      </c>
      <c r="H16" s="34">
        <f t="shared" si="4"/>
        <v>50</v>
      </c>
      <c r="I16" s="85">
        <f t="shared" si="2"/>
        <v>900</v>
      </c>
      <c r="J16" s="36"/>
      <c r="K16" s="37"/>
      <c r="L16" s="38"/>
      <c r="M16" s="39"/>
      <c r="N16" s="40"/>
      <c r="O16" s="86"/>
    </row>
    <row r="17" spans="1:15" x14ac:dyDescent="0.8">
      <c r="A17" s="11"/>
      <c r="B17" s="12">
        <v>2</v>
      </c>
      <c r="C17" s="13" t="s">
        <v>75</v>
      </c>
      <c r="D17" s="83" t="s">
        <v>53</v>
      </c>
      <c r="E17" s="43"/>
      <c r="F17" s="84">
        <v>23</v>
      </c>
      <c r="G17" s="116">
        <f t="shared" si="1"/>
        <v>46</v>
      </c>
      <c r="H17" s="34">
        <f t="shared" si="4"/>
        <v>50</v>
      </c>
      <c r="I17" s="85">
        <f t="shared" si="2"/>
        <v>69</v>
      </c>
      <c r="J17" s="36"/>
      <c r="K17" s="37"/>
      <c r="L17" s="38"/>
      <c r="M17" s="39"/>
      <c r="N17" s="40"/>
      <c r="O17" s="86"/>
    </row>
    <row r="18" spans="1:15" x14ac:dyDescent="0.8">
      <c r="A18" s="11"/>
      <c r="B18" s="12"/>
      <c r="C18" s="13" t="s">
        <v>69</v>
      </c>
      <c r="D18" s="83" t="s">
        <v>53</v>
      </c>
      <c r="E18" s="43"/>
      <c r="F18" s="117">
        <v>435</v>
      </c>
      <c r="G18" s="33">
        <f t="shared" si="1"/>
        <v>0</v>
      </c>
      <c r="H18" s="34">
        <f t="shared" si="4"/>
        <v>50</v>
      </c>
      <c r="I18" s="85">
        <f t="shared" si="2"/>
        <v>0</v>
      </c>
      <c r="J18" s="36"/>
      <c r="K18" s="37"/>
      <c r="L18" s="38"/>
      <c r="M18" s="39"/>
      <c r="N18" s="40"/>
      <c r="O18" s="41"/>
    </row>
    <row r="19" spans="1:15" x14ac:dyDescent="0.8">
      <c r="A19" s="11"/>
      <c r="B19" s="12">
        <v>1</v>
      </c>
      <c r="C19" s="13" t="s">
        <v>55</v>
      </c>
      <c r="D19" s="83" t="s">
        <v>53</v>
      </c>
      <c r="E19" s="43"/>
      <c r="F19" s="84">
        <v>650</v>
      </c>
      <c r="G19" s="116">
        <f t="shared" si="1"/>
        <v>650</v>
      </c>
      <c r="H19" s="34">
        <f t="shared" si="4"/>
        <v>50</v>
      </c>
      <c r="I19" s="85">
        <f t="shared" si="2"/>
        <v>975</v>
      </c>
      <c r="J19" s="36"/>
      <c r="K19" s="37"/>
      <c r="L19" s="38"/>
      <c r="M19" s="39"/>
      <c r="N19" s="40"/>
      <c r="O19" s="41"/>
    </row>
    <row r="20" spans="1:15" x14ac:dyDescent="0.8">
      <c r="A20" s="11"/>
      <c r="B20" s="12">
        <v>2</v>
      </c>
      <c r="C20" s="13" t="s">
        <v>74</v>
      </c>
      <c r="D20" s="83" t="s">
        <v>53</v>
      </c>
      <c r="E20" s="43"/>
      <c r="F20" s="84">
        <v>1062</v>
      </c>
      <c r="G20" s="116">
        <f t="shared" si="1"/>
        <v>2124</v>
      </c>
      <c r="H20" s="34">
        <f t="shared" si="4"/>
        <v>50</v>
      </c>
      <c r="I20" s="85">
        <f t="shared" si="2"/>
        <v>3186</v>
      </c>
      <c r="J20" s="36"/>
      <c r="K20" s="37"/>
      <c r="L20" s="38"/>
      <c r="M20" s="39"/>
      <c r="N20" s="40"/>
      <c r="O20" s="41"/>
    </row>
    <row r="21" spans="1:15" x14ac:dyDescent="0.8">
      <c r="A21" s="11"/>
      <c r="B21" s="12">
        <v>2</v>
      </c>
      <c r="C21" s="13" t="s">
        <v>75</v>
      </c>
      <c r="D21" s="83" t="s">
        <v>53</v>
      </c>
      <c r="E21" s="43"/>
      <c r="F21" s="84">
        <v>23</v>
      </c>
      <c r="G21" s="116">
        <f t="shared" si="1"/>
        <v>46</v>
      </c>
      <c r="H21" s="34">
        <f t="shared" si="4"/>
        <v>50</v>
      </c>
      <c r="I21" s="85">
        <f t="shared" si="2"/>
        <v>69</v>
      </c>
      <c r="J21" s="36"/>
      <c r="K21" s="37"/>
      <c r="L21" s="38"/>
      <c r="M21" s="39"/>
      <c r="N21" s="40"/>
      <c r="O21" s="86"/>
    </row>
    <row r="22" spans="1:15" x14ac:dyDescent="0.8">
      <c r="A22" s="11"/>
      <c r="B22" s="12">
        <v>2</v>
      </c>
      <c r="C22" s="13" t="s">
        <v>76</v>
      </c>
      <c r="D22" s="83" t="s">
        <v>53</v>
      </c>
      <c r="E22" s="43"/>
      <c r="F22" s="84">
        <v>100</v>
      </c>
      <c r="G22" s="116">
        <f t="shared" si="1"/>
        <v>200</v>
      </c>
      <c r="H22" s="34">
        <f t="shared" si="4"/>
        <v>50</v>
      </c>
      <c r="I22" s="85">
        <f t="shared" si="2"/>
        <v>300</v>
      </c>
      <c r="J22" s="36"/>
      <c r="K22" s="37"/>
      <c r="L22" s="38"/>
      <c r="M22" s="39"/>
      <c r="N22" s="40"/>
      <c r="O22" s="86"/>
    </row>
    <row r="23" spans="1:15" x14ac:dyDescent="0.8">
      <c r="A23" s="11"/>
      <c r="B23" s="12">
        <v>1</v>
      </c>
      <c r="C23" s="13" t="s">
        <v>77</v>
      </c>
      <c r="D23" s="83" t="s">
        <v>53</v>
      </c>
      <c r="E23" s="43"/>
      <c r="F23" s="84">
        <v>13.97</v>
      </c>
      <c r="G23" s="116">
        <f t="shared" si="1"/>
        <v>13.97</v>
      </c>
      <c r="H23" s="34">
        <f t="shared" si="4"/>
        <v>50</v>
      </c>
      <c r="I23" s="85">
        <f t="shared" si="2"/>
        <v>20.955000000000002</v>
      </c>
      <c r="J23" s="36"/>
      <c r="K23" s="37"/>
      <c r="L23" s="38"/>
      <c r="M23" s="39"/>
      <c r="N23" s="40"/>
      <c r="O23" s="86"/>
    </row>
    <row r="24" spans="1:15" x14ac:dyDescent="0.8">
      <c r="A24" s="11"/>
      <c r="B24" s="12">
        <v>2</v>
      </c>
      <c r="C24" s="13" t="s">
        <v>78</v>
      </c>
      <c r="D24" s="83" t="s">
        <v>53</v>
      </c>
      <c r="E24" s="43"/>
      <c r="F24" s="84">
        <v>900</v>
      </c>
      <c r="G24" s="116">
        <f t="shared" si="1"/>
        <v>1800</v>
      </c>
      <c r="H24" s="34">
        <f t="shared" si="4"/>
        <v>50</v>
      </c>
      <c r="I24" s="85">
        <f t="shared" si="2"/>
        <v>2700</v>
      </c>
      <c r="J24" s="36"/>
      <c r="K24" s="37"/>
      <c r="L24" s="38"/>
      <c r="M24" s="39"/>
      <c r="N24" s="40"/>
      <c r="O24" s="86"/>
    </row>
    <row r="25" spans="1:15" x14ac:dyDescent="0.8">
      <c r="A25" s="11"/>
      <c r="B25" s="12"/>
      <c r="C25" s="13" t="s">
        <v>81</v>
      </c>
      <c r="D25" s="83" t="s">
        <v>53</v>
      </c>
      <c r="E25" s="43"/>
      <c r="F25" s="117">
        <v>900</v>
      </c>
      <c r="G25" s="33">
        <f t="shared" si="1"/>
        <v>0</v>
      </c>
      <c r="H25" s="34">
        <f t="shared" si="4"/>
        <v>50</v>
      </c>
      <c r="I25" s="85">
        <f t="shared" si="2"/>
        <v>0</v>
      </c>
      <c r="J25" s="36"/>
      <c r="K25" s="37"/>
      <c r="L25" s="38"/>
      <c r="M25" s="39"/>
      <c r="N25" s="40"/>
      <c r="O25" s="86"/>
    </row>
    <row r="26" spans="1:15" x14ac:dyDescent="0.8">
      <c r="A26" s="11"/>
      <c r="B26" s="12">
        <v>25</v>
      </c>
      <c r="C26" s="13" t="s">
        <v>70</v>
      </c>
      <c r="D26" s="83" t="s">
        <v>53</v>
      </c>
      <c r="E26" s="43"/>
      <c r="F26" s="84">
        <v>5</v>
      </c>
      <c r="G26" s="116">
        <f t="shared" si="1"/>
        <v>125</v>
      </c>
      <c r="H26" s="34">
        <f t="shared" si="4"/>
        <v>50</v>
      </c>
      <c r="I26" s="85">
        <f t="shared" si="2"/>
        <v>187.5</v>
      </c>
      <c r="J26" s="36"/>
      <c r="K26" s="37"/>
      <c r="L26" s="38"/>
      <c r="M26" s="39"/>
      <c r="N26" s="40"/>
      <c r="O26" s="86"/>
    </row>
    <row r="27" spans="1:15" x14ac:dyDescent="0.8">
      <c r="A27" s="11"/>
      <c r="B27" s="12">
        <v>1</v>
      </c>
      <c r="C27" s="13" t="s">
        <v>89</v>
      </c>
      <c r="D27" s="83" t="s">
        <v>90</v>
      </c>
      <c r="E27" s="43"/>
      <c r="F27" s="117">
        <v>1100</v>
      </c>
      <c r="G27" s="33">
        <f t="shared" si="1"/>
        <v>1100</v>
      </c>
      <c r="H27" s="34">
        <f t="shared" si="4"/>
        <v>50</v>
      </c>
      <c r="I27" s="85">
        <f t="shared" si="2"/>
        <v>1650</v>
      </c>
      <c r="J27" s="36"/>
      <c r="K27" s="37"/>
      <c r="L27" s="38"/>
      <c r="M27" s="39"/>
      <c r="N27" s="40"/>
      <c r="O27" s="86"/>
    </row>
    <row r="28" spans="1:15" x14ac:dyDescent="0.8">
      <c r="A28" s="11"/>
      <c r="B28" s="108">
        <v>1</v>
      </c>
      <c r="C28" s="109" t="s">
        <v>86</v>
      </c>
      <c r="D28" s="110"/>
      <c r="E28" s="111"/>
      <c r="F28" s="94">
        <v>1100</v>
      </c>
      <c r="G28" s="116">
        <f t="shared" ref="G28" si="5">F28*B28</f>
        <v>1100</v>
      </c>
      <c r="H28" s="113">
        <f t="shared" si="4"/>
        <v>50</v>
      </c>
      <c r="I28" s="114">
        <f t="shared" ref="I28" si="6">((H28/100)+1)*G28</f>
        <v>1650</v>
      </c>
      <c r="J28" s="36"/>
      <c r="K28" s="37"/>
      <c r="L28" s="38"/>
      <c r="M28" s="39"/>
      <c r="N28" s="40"/>
      <c r="O28" s="86"/>
    </row>
    <row r="29" spans="1:15" x14ac:dyDescent="0.8">
      <c r="A29" s="11"/>
      <c r="B29" s="108">
        <v>1</v>
      </c>
      <c r="C29" s="109" t="s">
        <v>87</v>
      </c>
      <c r="D29" s="110"/>
      <c r="E29" s="111"/>
      <c r="F29" s="118">
        <v>812</v>
      </c>
      <c r="G29" s="116">
        <f t="shared" ref="G29:G30" si="7">F29*B29</f>
        <v>812</v>
      </c>
      <c r="H29" s="113">
        <f t="shared" si="4"/>
        <v>50</v>
      </c>
      <c r="I29" s="114">
        <f t="shared" ref="I29:I30" si="8">((H29/100)+1)*G29</f>
        <v>1218</v>
      </c>
      <c r="J29" s="36"/>
      <c r="K29" s="37"/>
      <c r="L29" s="38"/>
      <c r="M29" s="39"/>
      <c r="N29" s="40"/>
      <c r="O29" s="86"/>
    </row>
    <row r="30" spans="1:15" x14ac:dyDescent="0.8">
      <c r="A30" s="11"/>
      <c r="B30" s="108"/>
      <c r="C30" s="109" t="s">
        <v>88</v>
      </c>
      <c r="D30" s="110"/>
      <c r="E30" s="111"/>
      <c r="F30" s="118">
        <v>1200</v>
      </c>
      <c r="G30" s="112">
        <f t="shared" si="7"/>
        <v>0</v>
      </c>
      <c r="H30" s="113">
        <f t="shared" si="4"/>
        <v>50</v>
      </c>
      <c r="I30" s="114">
        <f t="shared" si="8"/>
        <v>0</v>
      </c>
      <c r="J30" s="36"/>
      <c r="K30" s="37"/>
      <c r="L30" s="38"/>
      <c r="M30" s="39"/>
      <c r="N30" s="40"/>
      <c r="O30" s="86"/>
    </row>
    <row r="31" spans="1:15" x14ac:dyDescent="0.8">
      <c r="A31" s="11"/>
      <c r="B31" s="12"/>
      <c r="C31" s="13"/>
      <c r="D31" s="83"/>
      <c r="E31" s="43"/>
      <c r="F31" s="84"/>
      <c r="G31" s="33"/>
      <c r="H31" s="34"/>
      <c r="I31" s="85"/>
      <c r="J31" s="36"/>
      <c r="K31" s="37"/>
      <c r="L31" s="38"/>
      <c r="M31" s="39"/>
      <c r="N31" s="40"/>
      <c r="O31" s="86"/>
    </row>
    <row r="32" spans="1:15" x14ac:dyDescent="0.8">
      <c r="A32" s="11"/>
      <c r="B32" s="12"/>
      <c r="C32" s="13"/>
      <c r="D32" s="83"/>
      <c r="E32" s="43"/>
      <c r="F32" s="84"/>
      <c r="G32" s="33"/>
      <c r="H32" s="34"/>
      <c r="I32" s="85"/>
      <c r="J32" s="36"/>
      <c r="K32" s="37"/>
      <c r="L32" s="38"/>
      <c r="M32" s="39"/>
      <c r="N32" s="40"/>
      <c r="O32" s="86"/>
    </row>
    <row r="33" spans="1:16" x14ac:dyDescent="0.8">
      <c r="A33" s="11"/>
      <c r="B33" s="12"/>
      <c r="C33" s="13" t="s">
        <v>64</v>
      </c>
      <c r="D33" s="83" t="s">
        <v>53</v>
      </c>
      <c r="E33" s="43"/>
      <c r="F33" s="117">
        <v>600</v>
      </c>
      <c r="G33" s="33">
        <f t="shared" si="1"/>
        <v>0</v>
      </c>
      <c r="H33" s="34">
        <f>+H26</f>
        <v>50</v>
      </c>
      <c r="I33" s="85">
        <f t="shared" si="2"/>
        <v>0</v>
      </c>
      <c r="J33" s="36"/>
      <c r="K33" s="37"/>
      <c r="L33" s="38"/>
      <c r="M33" s="39"/>
      <c r="N33" s="40"/>
      <c r="O33" s="86"/>
    </row>
    <row r="34" spans="1:16" x14ac:dyDescent="0.8">
      <c r="A34" s="11"/>
      <c r="B34" s="12"/>
      <c r="C34" s="13" t="s">
        <v>51</v>
      </c>
      <c r="D34" s="83"/>
      <c r="E34" s="43"/>
      <c r="F34" s="117">
        <v>650</v>
      </c>
      <c r="G34" s="33">
        <f t="shared" ref="G34" si="9">F34*B34</f>
        <v>0</v>
      </c>
      <c r="H34" s="34">
        <f t="shared" ref="H34" si="10">+H33</f>
        <v>50</v>
      </c>
      <c r="I34" s="85">
        <f t="shared" si="2"/>
        <v>0</v>
      </c>
      <c r="J34" s="36"/>
      <c r="K34" s="37"/>
      <c r="L34" s="38"/>
      <c r="M34" s="39"/>
      <c r="N34" s="40"/>
      <c r="O34" s="86"/>
    </row>
    <row r="35" spans="1:16" x14ac:dyDescent="0.8">
      <c r="A35" s="11"/>
      <c r="B35" s="12">
        <v>1</v>
      </c>
      <c r="C35" s="13" t="s">
        <v>65</v>
      </c>
      <c r="D35" s="83"/>
      <c r="E35" s="43"/>
      <c r="F35" s="118">
        <v>4500</v>
      </c>
      <c r="G35" s="33">
        <f t="shared" si="1"/>
        <v>4500</v>
      </c>
      <c r="H35" s="34">
        <f>+H33</f>
        <v>50</v>
      </c>
      <c r="I35" s="85">
        <f t="shared" si="2"/>
        <v>6750</v>
      </c>
      <c r="J35" s="36"/>
      <c r="K35" s="37"/>
      <c r="L35" s="38"/>
      <c r="M35" s="39"/>
      <c r="N35" s="40"/>
      <c r="O35" s="86"/>
      <c r="P35" s="89"/>
    </row>
    <row r="36" spans="1:16" x14ac:dyDescent="0.8">
      <c r="A36" s="11"/>
      <c r="B36" s="12">
        <v>1</v>
      </c>
      <c r="C36" s="13" t="s">
        <v>72</v>
      </c>
      <c r="D36" s="83"/>
      <c r="E36" s="43" t="s">
        <v>71</v>
      </c>
      <c r="F36" s="117">
        <v>392</v>
      </c>
      <c r="G36" s="116">
        <f t="shared" si="1"/>
        <v>392</v>
      </c>
      <c r="H36" s="34">
        <f t="shared" si="4"/>
        <v>50</v>
      </c>
      <c r="I36" s="85">
        <f t="shared" si="2"/>
        <v>588</v>
      </c>
      <c r="J36" s="36"/>
      <c r="K36" s="37"/>
      <c r="L36" s="38"/>
      <c r="M36" s="39"/>
      <c r="N36" s="40"/>
      <c r="O36" s="86"/>
      <c r="P36" s="89"/>
    </row>
    <row r="37" spans="1:16" x14ac:dyDescent="0.8">
      <c r="A37" s="11"/>
      <c r="B37" s="12">
        <v>3</v>
      </c>
      <c r="C37" s="13" t="s">
        <v>73</v>
      </c>
      <c r="D37" s="83"/>
      <c r="E37" s="43"/>
      <c r="F37" s="117">
        <v>1867</v>
      </c>
      <c r="G37" s="116">
        <f t="shared" si="1"/>
        <v>5601</v>
      </c>
      <c r="H37" s="34">
        <f t="shared" si="4"/>
        <v>50</v>
      </c>
      <c r="I37" s="85">
        <f t="shared" si="2"/>
        <v>8401.5</v>
      </c>
      <c r="J37" s="36"/>
      <c r="K37" s="37"/>
      <c r="L37" s="38"/>
      <c r="M37" s="39"/>
      <c r="N37" s="40"/>
      <c r="O37" s="86"/>
      <c r="P37" s="89"/>
    </row>
    <row r="38" spans="1:16" x14ac:dyDescent="0.8">
      <c r="A38" s="11"/>
      <c r="B38" s="12"/>
      <c r="C38" s="13" t="s">
        <v>62</v>
      </c>
      <c r="D38" s="83"/>
      <c r="E38" s="43"/>
      <c r="F38" s="117">
        <v>2000</v>
      </c>
      <c r="G38" s="33">
        <f t="shared" si="1"/>
        <v>0</v>
      </c>
      <c r="H38" s="34">
        <f t="shared" si="4"/>
        <v>50</v>
      </c>
      <c r="I38" s="85">
        <f t="shared" si="2"/>
        <v>0</v>
      </c>
      <c r="J38" s="36"/>
      <c r="K38" s="37"/>
      <c r="L38" s="38"/>
      <c r="M38" s="39"/>
      <c r="N38" s="40"/>
      <c r="O38" s="86"/>
      <c r="P38" s="89"/>
    </row>
    <row r="39" spans="1:16" x14ac:dyDescent="0.8">
      <c r="A39" s="11"/>
      <c r="B39" s="12"/>
      <c r="C39" s="13" t="s">
        <v>51</v>
      </c>
      <c r="D39" s="83"/>
      <c r="E39" s="43"/>
      <c r="F39" s="117">
        <v>700</v>
      </c>
      <c r="G39" s="33">
        <f t="shared" si="1"/>
        <v>0</v>
      </c>
      <c r="H39" s="34">
        <f t="shared" si="4"/>
        <v>50</v>
      </c>
      <c r="I39" s="85">
        <f t="shared" si="2"/>
        <v>0</v>
      </c>
      <c r="J39" s="36"/>
      <c r="K39" s="37"/>
      <c r="L39" s="38"/>
      <c r="M39" s="39"/>
      <c r="N39" s="40"/>
      <c r="O39" s="86"/>
      <c r="P39" s="89"/>
    </row>
    <row r="40" spans="1:16" ht="27.5" x14ac:dyDescent="0.8">
      <c r="A40" s="14"/>
      <c r="B40" s="133" t="s">
        <v>48</v>
      </c>
      <c r="C40" s="134"/>
      <c r="D40" s="134"/>
      <c r="E40" s="134"/>
      <c r="F40" s="134"/>
      <c r="G40" s="134"/>
      <c r="H40" s="134"/>
      <c r="I40" s="135"/>
      <c r="J40" s="36"/>
      <c r="K40" s="37"/>
      <c r="L40" s="38"/>
      <c r="M40" s="39"/>
      <c r="N40" s="40"/>
      <c r="O40" s="40"/>
      <c r="P40" s="42"/>
    </row>
    <row r="41" spans="1:16" x14ac:dyDescent="0.8">
      <c r="A41" s="14"/>
      <c r="B41" s="12"/>
      <c r="E41" s="43"/>
      <c r="F41" s="44"/>
      <c r="G41" s="33">
        <f t="shared" ref="G41:G52" si="11">F41*B41</f>
        <v>0</v>
      </c>
      <c r="H41" s="34"/>
      <c r="I41" s="35">
        <f t="shared" ref="I41:I52" si="12">((H41/100)+1)*G41</f>
        <v>0</v>
      </c>
      <c r="J41" s="36"/>
      <c r="K41" s="37"/>
      <c r="L41" s="38"/>
      <c r="M41" s="39"/>
      <c r="N41" s="40"/>
      <c r="O41" s="40"/>
      <c r="P41" s="42"/>
    </row>
    <row r="42" spans="1:16" x14ac:dyDescent="0.8">
      <c r="A42" s="14"/>
      <c r="B42" s="12"/>
      <c r="C42" s="16" t="s">
        <v>35</v>
      </c>
      <c r="D42" s="15" t="s">
        <v>33</v>
      </c>
      <c r="E42" s="43"/>
      <c r="F42" s="44">
        <v>350</v>
      </c>
      <c r="G42" s="33">
        <f t="shared" si="11"/>
        <v>0</v>
      </c>
      <c r="H42" s="34">
        <f>+H15</f>
        <v>50</v>
      </c>
      <c r="I42" s="35">
        <f t="shared" si="12"/>
        <v>0</v>
      </c>
      <c r="J42" s="36"/>
      <c r="K42" s="37"/>
      <c r="L42" s="38"/>
      <c r="M42" s="39"/>
      <c r="N42" s="40"/>
      <c r="O42" s="40"/>
      <c r="P42" s="42"/>
    </row>
    <row r="43" spans="1:16" x14ac:dyDescent="0.8">
      <c r="A43" s="14"/>
      <c r="B43" s="12"/>
      <c r="C43" s="16" t="s">
        <v>36</v>
      </c>
      <c r="D43" s="15" t="s">
        <v>33</v>
      </c>
      <c r="E43" s="43"/>
      <c r="F43" s="96">
        <v>350</v>
      </c>
      <c r="G43" s="33">
        <f t="shared" si="11"/>
        <v>0</v>
      </c>
      <c r="H43" s="34">
        <f>+H42</f>
        <v>50</v>
      </c>
      <c r="I43" s="35">
        <f t="shared" si="12"/>
        <v>0</v>
      </c>
      <c r="J43" s="36"/>
      <c r="K43" s="37"/>
      <c r="L43" s="38"/>
      <c r="M43" s="39"/>
      <c r="N43" s="40"/>
      <c r="O43" s="40"/>
      <c r="P43" s="42"/>
    </row>
    <row r="44" spans="1:16" x14ac:dyDescent="0.8">
      <c r="A44" s="14"/>
      <c r="B44" s="12"/>
      <c r="C44" s="16" t="s">
        <v>43</v>
      </c>
      <c r="D44" s="15" t="s">
        <v>56</v>
      </c>
      <c r="E44" s="43"/>
      <c r="F44" s="44">
        <v>0.45</v>
      </c>
      <c r="G44" s="35">
        <f t="shared" si="11"/>
        <v>0</v>
      </c>
      <c r="H44" s="34">
        <f t="shared" ref="H44:H51" si="13">+H43</f>
        <v>50</v>
      </c>
      <c r="I44" s="35">
        <f t="shared" si="12"/>
        <v>0</v>
      </c>
      <c r="J44" s="36"/>
      <c r="K44" s="37"/>
      <c r="L44" s="38"/>
      <c r="M44" s="39"/>
      <c r="N44" s="40"/>
      <c r="O44" s="40"/>
      <c r="P44" s="42"/>
    </row>
    <row r="45" spans="1:16" x14ac:dyDescent="0.8">
      <c r="A45" s="14"/>
      <c r="B45" s="12"/>
      <c r="C45" s="16" t="s">
        <v>41</v>
      </c>
      <c r="D45" s="15" t="s">
        <v>42</v>
      </c>
      <c r="E45" s="43"/>
      <c r="F45" s="96">
        <v>100</v>
      </c>
      <c r="G45" s="35">
        <f t="shared" si="11"/>
        <v>0</v>
      </c>
      <c r="H45" s="34">
        <f t="shared" si="13"/>
        <v>50</v>
      </c>
      <c r="I45" s="35">
        <f t="shared" si="12"/>
        <v>0</v>
      </c>
      <c r="J45" s="36"/>
      <c r="K45" s="37"/>
      <c r="L45" s="38"/>
      <c r="M45" s="39"/>
      <c r="N45" s="40"/>
      <c r="O45" s="40"/>
      <c r="P45" s="42"/>
    </row>
    <row r="46" spans="1:16" x14ac:dyDescent="0.8">
      <c r="A46" s="14"/>
      <c r="B46" s="12"/>
      <c r="C46" s="16" t="s">
        <v>10</v>
      </c>
      <c r="D46" s="15" t="s">
        <v>33</v>
      </c>
      <c r="E46" s="43"/>
      <c r="F46" s="44">
        <v>350</v>
      </c>
      <c r="G46" s="33">
        <f t="shared" si="11"/>
        <v>0</v>
      </c>
      <c r="H46" s="34">
        <f t="shared" si="13"/>
        <v>50</v>
      </c>
      <c r="I46" s="35">
        <f t="shared" si="12"/>
        <v>0</v>
      </c>
      <c r="J46" s="36"/>
      <c r="K46" s="37"/>
      <c r="L46" s="38"/>
      <c r="M46" s="39"/>
      <c r="N46" s="40"/>
      <c r="O46" s="40"/>
      <c r="P46" s="42"/>
    </row>
    <row r="47" spans="1:16" x14ac:dyDescent="0.8">
      <c r="A47" s="14"/>
      <c r="B47" s="12"/>
      <c r="C47" s="16" t="s">
        <v>11</v>
      </c>
      <c r="D47" s="15" t="s">
        <v>33</v>
      </c>
      <c r="E47" s="43"/>
      <c r="F47" s="44">
        <v>350</v>
      </c>
      <c r="G47" s="33">
        <f t="shared" si="11"/>
        <v>0</v>
      </c>
      <c r="H47" s="34">
        <f t="shared" si="13"/>
        <v>50</v>
      </c>
      <c r="I47" s="35">
        <f t="shared" si="12"/>
        <v>0</v>
      </c>
      <c r="J47" s="36"/>
      <c r="K47" s="37"/>
      <c r="L47" s="38"/>
      <c r="M47" s="39"/>
      <c r="N47" s="40"/>
      <c r="O47" s="40"/>
      <c r="P47" s="42"/>
    </row>
    <row r="48" spans="1:16" x14ac:dyDescent="0.8">
      <c r="A48" s="14"/>
      <c r="B48" s="12"/>
      <c r="C48" s="16" t="s">
        <v>12</v>
      </c>
      <c r="D48" s="15" t="s">
        <v>33</v>
      </c>
      <c r="E48" s="43"/>
      <c r="F48" s="44">
        <v>350</v>
      </c>
      <c r="G48" s="33">
        <f t="shared" si="11"/>
        <v>0</v>
      </c>
      <c r="H48" s="34">
        <f t="shared" si="13"/>
        <v>50</v>
      </c>
      <c r="I48" s="35">
        <f t="shared" si="12"/>
        <v>0</v>
      </c>
      <c r="J48" s="36"/>
      <c r="K48" s="37"/>
      <c r="L48" s="38"/>
      <c r="M48" s="39"/>
      <c r="N48" s="40"/>
      <c r="O48" s="40"/>
      <c r="P48" s="42"/>
    </row>
    <row r="49" spans="1:16" x14ac:dyDescent="0.8">
      <c r="A49" s="14"/>
      <c r="B49" s="12">
        <v>2</v>
      </c>
      <c r="C49" s="16" t="s">
        <v>13</v>
      </c>
      <c r="D49" s="15" t="s">
        <v>33</v>
      </c>
      <c r="E49" s="43"/>
      <c r="F49" s="44">
        <v>400</v>
      </c>
      <c r="G49" s="33">
        <f t="shared" si="11"/>
        <v>800</v>
      </c>
      <c r="H49" s="34">
        <f t="shared" si="13"/>
        <v>50</v>
      </c>
      <c r="I49" s="35">
        <f t="shared" si="12"/>
        <v>1200</v>
      </c>
      <c r="J49" s="36"/>
      <c r="K49" s="37"/>
      <c r="L49" s="38"/>
      <c r="M49" s="39"/>
      <c r="N49" s="40"/>
      <c r="O49" s="40"/>
      <c r="P49" s="42"/>
    </row>
    <row r="50" spans="1:16" x14ac:dyDescent="0.8">
      <c r="A50" s="14"/>
      <c r="B50" s="12">
        <v>10</v>
      </c>
      <c r="C50" s="16" t="s">
        <v>14</v>
      </c>
      <c r="D50" s="15" t="s">
        <v>33</v>
      </c>
      <c r="E50" s="43"/>
      <c r="F50" s="44">
        <v>350</v>
      </c>
      <c r="G50" s="33">
        <f t="shared" si="11"/>
        <v>3500</v>
      </c>
      <c r="H50" s="34">
        <f t="shared" si="13"/>
        <v>50</v>
      </c>
      <c r="I50" s="35">
        <f t="shared" si="12"/>
        <v>5250</v>
      </c>
      <c r="J50" s="36"/>
      <c r="K50" s="37"/>
      <c r="L50" s="38"/>
      <c r="M50" s="39"/>
      <c r="N50" s="40"/>
      <c r="O50" s="40"/>
      <c r="P50" s="42"/>
    </row>
    <row r="51" spans="1:16" x14ac:dyDescent="0.8">
      <c r="A51" s="14"/>
      <c r="B51" s="12"/>
      <c r="C51" s="16" t="s">
        <v>37</v>
      </c>
      <c r="D51" s="32"/>
      <c r="E51" s="43"/>
      <c r="F51" s="44">
        <v>75</v>
      </c>
      <c r="G51" s="33">
        <f t="shared" si="11"/>
        <v>0</v>
      </c>
      <c r="H51" s="34">
        <f t="shared" si="13"/>
        <v>50</v>
      </c>
      <c r="I51" s="35">
        <f t="shared" si="12"/>
        <v>0</v>
      </c>
      <c r="J51" s="36"/>
      <c r="K51" s="37"/>
      <c r="L51" s="38"/>
      <c r="M51" s="39"/>
      <c r="N51" s="40"/>
      <c r="O51" s="40"/>
      <c r="P51" s="42"/>
    </row>
    <row r="52" spans="1:16" x14ac:dyDescent="0.8">
      <c r="A52" s="14"/>
      <c r="B52" s="12"/>
      <c r="C52" s="15"/>
      <c r="D52" s="32"/>
      <c r="E52" s="43"/>
      <c r="F52" s="44"/>
      <c r="G52" s="35">
        <f t="shared" si="11"/>
        <v>0</v>
      </c>
      <c r="H52" s="34"/>
      <c r="I52" s="35">
        <f t="shared" si="12"/>
        <v>0</v>
      </c>
      <c r="J52" s="36"/>
      <c r="K52" s="37"/>
      <c r="L52" s="38"/>
      <c r="M52" s="39"/>
      <c r="N52" s="40"/>
      <c r="O52" s="40"/>
      <c r="P52" s="42"/>
    </row>
    <row r="53" spans="1:16" x14ac:dyDescent="0.8">
      <c r="A53" s="14"/>
      <c r="B53" s="12"/>
      <c r="C53" s="16" t="s">
        <v>15</v>
      </c>
      <c r="D53" s="32"/>
      <c r="E53" s="43"/>
      <c r="F53" s="44"/>
      <c r="G53" s="45">
        <f>SUM(G11:G52)</f>
        <v>45246.97</v>
      </c>
      <c r="H53" s="46"/>
      <c r="I53" s="47">
        <f>SUM(I11:I52)</f>
        <v>67870.455000000002</v>
      </c>
      <c r="J53" s="36"/>
      <c r="K53" s="37"/>
      <c r="L53" s="38"/>
      <c r="M53" s="39"/>
      <c r="N53" s="40"/>
      <c r="O53" s="40"/>
      <c r="P53" s="42"/>
    </row>
    <row r="54" spans="1:16" x14ac:dyDescent="0.8">
      <c r="A54" s="14"/>
      <c r="B54" s="12"/>
      <c r="C54" s="16"/>
      <c r="D54" s="32"/>
      <c r="E54" s="43"/>
      <c r="F54" s="44"/>
      <c r="G54" s="45"/>
      <c r="H54" s="46"/>
      <c r="I54" s="47"/>
      <c r="J54" s="36"/>
      <c r="K54" s="37"/>
      <c r="L54" s="38"/>
      <c r="M54" s="39"/>
      <c r="N54" s="40"/>
      <c r="O54" s="40"/>
      <c r="P54" s="42"/>
    </row>
    <row r="55" spans="1:16" x14ac:dyDescent="0.8">
      <c r="A55" s="14"/>
      <c r="B55" s="12">
        <v>1</v>
      </c>
      <c r="C55" s="16" t="s">
        <v>34</v>
      </c>
      <c r="D55" s="32"/>
      <c r="E55" s="43"/>
      <c r="F55" s="44"/>
      <c r="G55" s="45"/>
      <c r="H55" s="34">
        <v>5</v>
      </c>
      <c r="I55" s="47">
        <f>(H55/100)*I53</f>
        <v>3393.5227500000001</v>
      </c>
      <c r="J55" s="36"/>
      <c r="K55" s="37"/>
      <c r="L55" s="38"/>
      <c r="M55" s="39"/>
      <c r="N55" s="40"/>
      <c r="O55" s="40"/>
      <c r="P55" s="42"/>
    </row>
    <row r="56" spans="1:16" x14ac:dyDescent="0.8">
      <c r="A56" s="14"/>
      <c r="B56" s="12"/>
      <c r="C56" s="17" t="s">
        <v>57</v>
      </c>
      <c r="D56" s="32"/>
      <c r="E56" s="43"/>
      <c r="F56" s="44"/>
      <c r="G56" s="45"/>
      <c r="H56" s="34">
        <v>1</v>
      </c>
      <c r="I56" s="47">
        <f>(H56/100)*I53</f>
        <v>678.70455000000004</v>
      </c>
      <c r="J56" s="36"/>
      <c r="K56" s="37"/>
      <c r="L56" s="38"/>
      <c r="M56" s="39"/>
      <c r="N56" s="40"/>
      <c r="O56" s="40"/>
      <c r="P56" s="42"/>
    </row>
    <row r="57" spans="1:16" x14ac:dyDescent="0.8">
      <c r="A57" s="14"/>
      <c r="B57" s="12"/>
      <c r="C57" s="17" t="s">
        <v>9</v>
      </c>
      <c r="D57" s="51"/>
      <c r="E57" s="52"/>
      <c r="F57" s="44"/>
      <c r="G57" s="48"/>
      <c r="H57" s="49"/>
      <c r="I57" s="50">
        <f>((H57/100)*(I53+I55))</f>
        <v>0</v>
      </c>
      <c r="J57" s="53"/>
      <c r="K57" s="54"/>
      <c r="L57" s="55"/>
      <c r="M57" s="56"/>
      <c r="N57" s="57"/>
      <c r="O57" s="57"/>
      <c r="P57" s="42"/>
    </row>
    <row r="58" spans="1:16" ht="24" x14ac:dyDescent="0.8">
      <c r="A58" s="18"/>
      <c r="B58" s="18"/>
      <c r="C58" s="19"/>
      <c r="D58" s="72"/>
      <c r="E58" s="72"/>
      <c r="F58" s="73" t="s">
        <v>21</v>
      </c>
      <c r="G58" s="58">
        <f>SUM(G53:G56)</f>
        <v>45246.97</v>
      </c>
      <c r="H58" s="59"/>
      <c r="I58" s="76">
        <f>I53+I55-I57+I56</f>
        <v>71942.6823</v>
      </c>
      <c r="J58" s="60"/>
      <c r="K58" s="20"/>
      <c r="L58" s="21"/>
      <c r="M58" s="61">
        <f>SUM(M11:M56)</f>
        <v>0</v>
      </c>
      <c r="N58" s="62"/>
      <c r="O58" s="62"/>
      <c r="P58" s="42"/>
    </row>
    <row r="59" spans="1:16" x14ac:dyDescent="0.8">
      <c r="D59" s="136" t="s">
        <v>31</v>
      </c>
      <c r="E59" s="136"/>
      <c r="F59" s="136"/>
      <c r="G59" s="74" t="s">
        <v>29</v>
      </c>
      <c r="H59" s="74"/>
      <c r="I59" s="65">
        <f>I58-G58</f>
        <v>26695.712299999999</v>
      </c>
      <c r="J59" s="66"/>
      <c r="K59" s="67" t="s">
        <v>30</v>
      </c>
      <c r="L59" s="64" t="s">
        <v>29</v>
      </c>
      <c r="M59" s="68">
        <f>K7-M58</f>
        <v>0</v>
      </c>
      <c r="N59" s="137"/>
      <c r="O59" s="138"/>
      <c r="P59" s="63"/>
    </row>
    <row r="60" spans="1:16" x14ac:dyDescent="0.8">
      <c r="C60" s="22"/>
      <c r="D60" s="121" t="s">
        <v>32</v>
      </c>
      <c r="E60" s="121"/>
      <c r="F60" s="121"/>
      <c r="G60" s="75" t="s">
        <v>28</v>
      </c>
      <c r="H60" s="75"/>
      <c r="I60" s="70">
        <f>(I58-G58)/I58</f>
        <v>0.37106918238993708</v>
      </c>
      <c r="J60" s="66"/>
      <c r="K60" s="67" t="s">
        <v>30</v>
      </c>
      <c r="L60" s="69" t="s">
        <v>28</v>
      </c>
      <c r="M60" s="71" t="e">
        <f>(K7-M58)/K7</f>
        <v>#DIV/0!</v>
      </c>
      <c r="N60" s="122"/>
      <c r="O60" s="123"/>
      <c r="P60" s="63"/>
    </row>
    <row r="61" spans="1:16" x14ac:dyDescent="0.8">
      <c r="C61" s="22"/>
      <c r="D61" s="23"/>
      <c r="E61" s="22"/>
      <c r="F61" s="22"/>
      <c r="G61" s="124"/>
      <c r="H61" s="124"/>
      <c r="I61" s="24"/>
    </row>
  </sheetData>
  <mergeCells count="35">
    <mergeCell ref="B3:I3"/>
    <mergeCell ref="J3:O3"/>
    <mergeCell ref="C4:F5"/>
    <mergeCell ref="H4:I4"/>
    <mergeCell ref="K4:M4"/>
    <mergeCell ref="H5:I5"/>
    <mergeCell ref="K5:M5"/>
    <mergeCell ref="F8:F9"/>
    <mergeCell ref="A6:B7"/>
    <mergeCell ref="C6:F7"/>
    <mergeCell ref="H6:I6"/>
    <mergeCell ref="K6:M6"/>
    <mergeCell ref="H7:I7"/>
    <mergeCell ref="K7:M7"/>
    <mergeCell ref="A8:A9"/>
    <mergeCell ref="B8:B9"/>
    <mergeCell ref="C8:C9"/>
    <mergeCell ref="D8:D9"/>
    <mergeCell ref="E8:E9"/>
    <mergeCell ref="D60:F60"/>
    <mergeCell ref="N60:O60"/>
    <mergeCell ref="G61:H61"/>
    <mergeCell ref="M8:M9"/>
    <mergeCell ref="N8:N9"/>
    <mergeCell ref="O8:O9"/>
    <mergeCell ref="B10:I10"/>
    <mergeCell ref="B40:I40"/>
    <mergeCell ref="D59:F59"/>
    <mergeCell ref="N59:O59"/>
    <mergeCell ref="G8:G9"/>
    <mergeCell ref="H8:H9"/>
    <mergeCell ref="I8:I9"/>
    <mergeCell ref="J8:J9"/>
    <mergeCell ref="K8:K9"/>
    <mergeCell ref="L8:L9"/>
  </mergeCells>
  <pageMargins left="0.47244094488188981" right="0.19685039370078741" top="0.70866141732283472" bottom="0.78740157480314965" header="0.51181102362204722" footer="0.51181102362204722"/>
  <pageSetup paperSize="8" orientation="landscape" horizontalDpi="300" verticalDpi="300" r:id="rId1"/>
  <headerFooter alignWithMargins="0">
    <oddFooter>&amp;CSO &amp;P of &amp;N&amp;  Date:&amp;D</oddFooter>
  </headerFooter>
  <rowBreaks count="1" manualBreakCount="1">
    <brk id="5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71B3-BC94-43F0-BEB8-8FE65F6B83B6}">
  <dimension ref="A3:P54"/>
  <sheetViews>
    <sheetView showGridLines="0" showZeros="0" topLeftCell="A28" zoomScale="60" zoomScaleNormal="60" zoomScaleSheetLayoutView="98" workbookViewId="0">
      <selection activeCell="H13" sqref="H13"/>
    </sheetView>
  </sheetViews>
  <sheetFormatPr defaultColWidth="8.7265625" defaultRowHeight="20" x14ac:dyDescent="0.8"/>
  <cols>
    <col min="1" max="1" width="4.54296875" style="3" customWidth="1"/>
    <col min="2" max="2" width="7.1796875" style="3" customWidth="1"/>
    <col min="3" max="3" width="58.81640625" style="3" customWidth="1"/>
    <col min="4" max="4" width="15" style="18" customWidth="1"/>
    <col min="5" max="5" width="11.453125" style="3" customWidth="1"/>
    <col min="6" max="6" width="11.453125" style="25" customWidth="1"/>
    <col min="7" max="7" width="12.1796875" style="3" customWidth="1"/>
    <col min="8" max="8" width="9.7265625" style="3" bestFit="1" customWidth="1"/>
    <col min="9" max="9" width="14.453125" style="3" bestFit="1" customWidth="1"/>
    <col min="10" max="10" width="15.54296875" style="3" hidden="1" customWidth="1"/>
    <col min="11" max="11" width="8.7265625" style="3" hidden="1" customWidth="1"/>
    <col min="12" max="12" width="10" style="3" hidden="1" customWidth="1"/>
    <col min="13" max="13" width="13.26953125" style="3" hidden="1" customWidth="1"/>
    <col min="14" max="14" width="10" style="3" hidden="1" customWidth="1"/>
    <col min="15" max="15" width="2.81640625" style="3" hidden="1" customWidth="1"/>
    <col min="16" max="16" width="120.7265625" style="3" customWidth="1"/>
    <col min="17" max="16384" width="8.7265625" style="3"/>
  </cols>
  <sheetData>
    <row r="3" spans="1:16" ht="30.5" x14ac:dyDescent="1.1499999999999999">
      <c r="A3" s="82"/>
      <c r="B3" s="161" t="s">
        <v>47</v>
      </c>
      <c r="C3" s="161"/>
      <c r="D3" s="161"/>
      <c r="E3" s="161"/>
      <c r="F3" s="161"/>
      <c r="G3" s="161"/>
      <c r="H3" s="161"/>
      <c r="I3" s="162"/>
      <c r="J3" s="163" t="s">
        <v>8</v>
      </c>
      <c r="K3" s="163"/>
      <c r="L3" s="163"/>
      <c r="M3" s="163"/>
      <c r="N3" s="164"/>
      <c r="O3" s="165"/>
      <c r="P3" s="2"/>
    </row>
    <row r="4" spans="1:16" x14ac:dyDescent="0.8">
      <c r="A4" s="26" t="s">
        <v>3</v>
      </c>
      <c r="B4" s="27"/>
      <c r="C4" s="166" t="s">
        <v>63</v>
      </c>
      <c r="D4" s="147"/>
      <c r="E4" s="147"/>
      <c r="F4" s="148"/>
      <c r="G4" s="30" t="s">
        <v>1</v>
      </c>
      <c r="H4" s="169"/>
      <c r="I4" s="170"/>
      <c r="J4" s="4" t="s">
        <v>5</v>
      </c>
      <c r="K4" s="171" t="s">
        <v>38</v>
      </c>
      <c r="L4" s="172"/>
      <c r="M4" s="172"/>
      <c r="N4" s="5"/>
      <c r="O4" s="6"/>
    </row>
    <row r="5" spans="1:16" x14ac:dyDescent="0.8">
      <c r="A5" s="28"/>
      <c r="B5" s="29"/>
      <c r="C5" s="167"/>
      <c r="D5" s="167"/>
      <c r="E5" s="167"/>
      <c r="F5" s="168"/>
      <c r="G5" s="31" t="s">
        <v>22</v>
      </c>
      <c r="H5" s="151" t="s">
        <v>49</v>
      </c>
      <c r="I5" s="152"/>
      <c r="J5" s="1" t="s">
        <v>23</v>
      </c>
      <c r="K5" s="153" t="s">
        <v>39</v>
      </c>
      <c r="L5" s="154"/>
      <c r="M5" s="154"/>
      <c r="N5" s="7"/>
      <c r="O5" s="8"/>
    </row>
    <row r="6" spans="1:16" x14ac:dyDescent="0.8">
      <c r="A6" s="146" t="s">
        <v>4</v>
      </c>
      <c r="B6" s="146"/>
      <c r="C6" s="147"/>
      <c r="D6" s="147"/>
      <c r="E6" s="147"/>
      <c r="F6" s="148"/>
      <c r="G6" s="31" t="s">
        <v>2</v>
      </c>
      <c r="H6" s="151"/>
      <c r="I6" s="152"/>
      <c r="J6" s="1" t="s">
        <v>6</v>
      </c>
      <c r="K6" s="153" t="s">
        <v>40</v>
      </c>
      <c r="L6" s="154"/>
      <c r="M6" s="154"/>
      <c r="N6" s="7"/>
      <c r="O6" s="8"/>
    </row>
    <row r="7" spans="1:16" ht="18" customHeight="1" x14ac:dyDescent="0.8">
      <c r="A7" s="146"/>
      <c r="B7" s="146"/>
      <c r="C7" s="149"/>
      <c r="D7" s="149"/>
      <c r="E7" s="149"/>
      <c r="F7" s="150"/>
      <c r="G7" s="31" t="s">
        <v>6</v>
      </c>
      <c r="H7" s="155"/>
      <c r="I7" s="156"/>
      <c r="J7" s="1" t="s">
        <v>7</v>
      </c>
      <c r="K7" s="157"/>
      <c r="L7" s="158"/>
      <c r="M7" s="158"/>
      <c r="N7" s="9"/>
      <c r="O7" s="10"/>
    </row>
    <row r="8" spans="1:16" ht="12.75" customHeight="1" x14ac:dyDescent="0.8">
      <c r="A8" s="159"/>
      <c r="B8" s="142" t="s">
        <v>45</v>
      </c>
      <c r="C8" s="160" t="s">
        <v>16</v>
      </c>
      <c r="D8" s="139" t="s">
        <v>17</v>
      </c>
      <c r="E8" s="141" t="s">
        <v>44</v>
      </c>
      <c r="F8" s="139" t="s">
        <v>18</v>
      </c>
      <c r="G8" s="139" t="s">
        <v>19</v>
      </c>
      <c r="H8" s="141" t="s">
        <v>0</v>
      </c>
      <c r="I8" s="139" t="s">
        <v>20</v>
      </c>
      <c r="J8" s="143" t="s">
        <v>17</v>
      </c>
      <c r="K8" s="125" t="s">
        <v>24</v>
      </c>
      <c r="L8" s="145" t="s">
        <v>2</v>
      </c>
      <c r="M8" s="125" t="s">
        <v>25</v>
      </c>
      <c r="N8" s="126" t="s">
        <v>26</v>
      </c>
      <c r="O8" s="128" t="s">
        <v>27</v>
      </c>
    </row>
    <row r="9" spans="1:16" ht="49.5" customHeight="1" x14ac:dyDescent="0.8">
      <c r="A9" s="159"/>
      <c r="B9" s="160"/>
      <c r="C9" s="160"/>
      <c r="D9" s="142"/>
      <c r="E9" s="142"/>
      <c r="F9" s="142"/>
      <c r="G9" s="140"/>
      <c r="H9" s="142"/>
      <c r="I9" s="142"/>
      <c r="J9" s="144"/>
      <c r="K9" s="125"/>
      <c r="L9" s="126"/>
      <c r="M9" s="125"/>
      <c r="N9" s="127"/>
      <c r="O9" s="129"/>
    </row>
    <row r="10" spans="1:16" ht="25.5" customHeight="1" x14ac:dyDescent="0.8">
      <c r="A10" s="77"/>
      <c r="B10" s="130" t="s">
        <v>46</v>
      </c>
      <c r="C10" s="131"/>
      <c r="D10" s="131"/>
      <c r="E10" s="131"/>
      <c r="F10" s="131"/>
      <c r="G10" s="131"/>
      <c r="H10" s="131"/>
      <c r="I10" s="132"/>
      <c r="J10" s="78"/>
      <c r="K10" s="51"/>
      <c r="L10" s="79"/>
      <c r="M10" s="51"/>
      <c r="N10" s="80"/>
      <c r="O10" s="81"/>
    </row>
    <row r="11" spans="1:16" x14ac:dyDescent="0.8">
      <c r="A11" s="11"/>
      <c r="B11" s="12"/>
      <c r="C11" s="13"/>
      <c r="D11" s="32"/>
      <c r="E11" s="43" t="s">
        <v>50</v>
      </c>
      <c r="F11" s="33"/>
      <c r="G11" s="35">
        <f>F11*B11</f>
        <v>0</v>
      </c>
      <c r="H11" s="34"/>
      <c r="I11" s="35">
        <f t="shared" ref="I11" si="0">((H11/100)+1)*G11</f>
        <v>0</v>
      </c>
      <c r="J11" s="36"/>
      <c r="K11" s="37"/>
      <c r="L11" s="38"/>
      <c r="M11" s="39"/>
      <c r="N11" s="40"/>
      <c r="O11" s="86"/>
    </row>
    <row r="12" spans="1:16" x14ac:dyDescent="0.8">
      <c r="A12" s="11"/>
      <c r="B12" s="12">
        <v>0</v>
      </c>
      <c r="C12" s="13" t="s">
        <v>67</v>
      </c>
      <c r="D12" s="83" t="s">
        <v>53</v>
      </c>
      <c r="E12" s="43" t="s">
        <v>66</v>
      </c>
      <c r="F12" s="84">
        <v>9400</v>
      </c>
      <c r="G12" s="33">
        <f t="shared" ref="G12:G32" si="1">F12*B12</f>
        <v>0</v>
      </c>
      <c r="H12" s="34">
        <v>50</v>
      </c>
      <c r="I12" s="85">
        <f t="shared" ref="I12:I31" si="2">((H12/100)+1)*F12*B12</f>
        <v>0</v>
      </c>
      <c r="J12" s="36"/>
      <c r="K12" s="37"/>
      <c r="L12" s="38"/>
      <c r="M12" s="39"/>
      <c r="N12" s="40"/>
      <c r="O12" s="86"/>
    </row>
    <row r="13" spans="1:16" x14ac:dyDescent="0.8">
      <c r="A13" s="11"/>
      <c r="B13" s="12">
        <v>0</v>
      </c>
      <c r="C13" s="13" t="s">
        <v>68</v>
      </c>
      <c r="D13" s="83"/>
      <c r="E13" s="43"/>
      <c r="F13" s="84">
        <v>7583</v>
      </c>
      <c r="G13" s="33">
        <f t="shared" si="1"/>
        <v>0</v>
      </c>
      <c r="H13" s="34">
        <f>+H12</f>
        <v>50</v>
      </c>
      <c r="I13" s="85">
        <f t="shared" si="2"/>
        <v>0</v>
      </c>
      <c r="J13" s="36"/>
      <c r="K13" s="37"/>
      <c r="L13" s="38"/>
      <c r="M13" s="39"/>
      <c r="N13" s="40"/>
      <c r="O13" s="86"/>
    </row>
    <row r="14" spans="1:16" x14ac:dyDescent="0.8">
      <c r="A14" s="11"/>
      <c r="B14" s="12">
        <v>0</v>
      </c>
      <c r="C14" s="13" t="s">
        <v>79</v>
      </c>
      <c r="D14" s="83"/>
      <c r="E14" s="43"/>
      <c r="F14" s="84">
        <v>434</v>
      </c>
      <c r="G14" s="33">
        <f t="shared" si="1"/>
        <v>0</v>
      </c>
      <c r="H14" s="34">
        <f t="shared" ref="H14:H32" si="3">+H13</f>
        <v>50</v>
      </c>
      <c r="I14" s="85">
        <f t="shared" si="2"/>
        <v>0</v>
      </c>
      <c r="J14" s="36"/>
      <c r="K14" s="37"/>
      <c r="L14" s="38"/>
      <c r="M14" s="39"/>
      <c r="N14" s="40"/>
      <c r="O14" s="86"/>
    </row>
    <row r="15" spans="1:16" x14ac:dyDescent="0.8">
      <c r="A15" s="11"/>
      <c r="B15" s="12">
        <v>0</v>
      </c>
      <c r="C15" s="13" t="s">
        <v>52</v>
      </c>
      <c r="D15" s="83" t="s">
        <v>53</v>
      </c>
      <c r="E15" s="43"/>
      <c r="F15" s="84">
        <v>884</v>
      </c>
      <c r="G15" s="33">
        <f t="shared" si="1"/>
        <v>0</v>
      </c>
      <c r="H15" s="34">
        <f t="shared" si="3"/>
        <v>50</v>
      </c>
      <c r="I15" s="85">
        <f t="shared" si="2"/>
        <v>0</v>
      </c>
      <c r="J15" s="36"/>
      <c r="K15" s="37"/>
      <c r="L15" s="38"/>
      <c r="M15" s="39"/>
      <c r="N15" s="40"/>
      <c r="O15" s="86"/>
    </row>
    <row r="16" spans="1:16" x14ac:dyDescent="0.8">
      <c r="A16" s="11"/>
      <c r="B16" s="12">
        <v>0</v>
      </c>
      <c r="C16" s="13" t="s">
        <v>80</v>
      </c>
      <c r="D16" s="83"/>
      <c r="E16" s="43"/>
      <c r="F16" s="84">
        <v>600</v>
      </c>
      <c r="G16" s="33">
        <f t="shared" si="1"/>
        <v>0</v>
      </c>
      <c r="H16" s="34">
        <f t="shared" si="3"/>
        <v>50</v>
      </c>
      <c r="I16" s="85">
        <f t="shared" si="2"/>
        <v>0</v>
      </c>
      <c r="J16" s="36"/>
      <c r="K16" s="37"/>
      <c r="L16" s="38"/>
      <c r="M16" s="39"/>
      <c r="N16" s="40"/>
      <c r="O16" s="86"/>
    </row>
    <row r="17" spans="1:16" x14ac:dyDescent="0.8">
      <c r="A17" s="11"/>
      <c r="B17" s="12">
        <v>0</v>
      </c>
      <c r="C17" s="13" t="s">
        <v>75</v>
      </c>
      <c r="D17" s="83"/>
      <c r="E17" s="43"/>
      <c r="F17" s="84">
        <v>23</v>
      </c>
      <c r="G17" s="33">
        <f t="shared" si="1"/>
        <v>0</v>
      </c>
      <c r="H17" s="34">
        <f t="shared" si="3"/>
        <v>50</v>
      </c>
      <c r="I17" s="85">
        <f t="shared" si="2"/>
        <v>0</v>
      </c>
      <c r="J17" s="36"/>
      <c r="K17" s="37"/>
      <c r="L17" s="38"/>
      <c r="M17" s="39"/>
      <c r="N17" s="40"/>
      <c r="O17" s="86"/>
    </row>
    <row r="18" spans="1:16" x14ac:dyDescent="0.8">
      <c r="A18" s="11"/>
      <c r="B18" s="12">
        <v>0</v>
      </c>
      <c r="C18" s="13" t="s">
        <v>69</v>
      </c>
      <c r="D18" s="83" t="s">
        <v>53</v>
      </c>
      <c r="E18" s="43"/>
      <c r="F18" s="84">
        <v>435</v>
      </c>
      <c r="G18" s="33">
        <f t="shared" si="1"/>
        <v>0</v>
      </c>
      <c r="H18" s="34">
        <f t="shared" si="3"/>
        <v>50</v>
      </c>
      <c r="I18" s="85">
        <f t="shared" si="2"/>
        <v>0</v>
      </c>
      <c r="J18" s="36"/>
      <c r="K18" s="37"/>
      <c r="L18" s="38"/>
      <c r="M18" s="39"/>
      <c r="N18" s="40"/>
      <c r="O18" s="41"/>
    </row>
    <row r="19" spans="1:16" x14ac:dyDescent="0.8">
      <c r="A19" s="11"/>
      <c r="B19" s="12">
        <v>0</v>
      </c>
      <c r="C19" s="13" t="s">
        <v>55</v>
      </c>
      <c r="D19" s="83" t="s">
        <v>53</v>
      </c>
      <c r="E19" s="43"/>
      <c r="F19" s="84">
        <v>650</v>
      </c>
      <c r="G19" s="33">
        <f t="shared" si="1"/>
        <v>0</v>
      </c>
      <c r="H19" s="34">
        <f t="shared" si="3"/>
        <v>50</v>
      </c>
      <c r="I19" s="85">
        <f t="shared" si="2"/>
        <v>0</v>
      </c>
      <c r="J19" s="36"/>
      <c r="K19" s="37"/>
      <c r="L19" s="38"/>
      <c r="M19" s="39"/>
      <c r="N19" s="40"/>
      <c r="O19" s="41"/>
    </row>
    <row r="20" spans="1:16" x14ac:dyDescent="0.8">
      <c r="A20" s="11"/>
      <c r="B20" s="12">
        <v>0</v>
      </c>
      <c r="C20" s="13" t="s">
        <v>74</v>
      </c>
      <c r="D20" s="83" t="s">
        <v>53</v>
      </c>
      <c r="E20" s="43"/>
      <c r="F20" s="84">
        <v>1062</v>
      </c>
      <c r="G20" s="33">
        <f t="shared" si="1"/>
        <v>0</v>
      </c>
      <c r="H20" s="34">
        <f t="shared" si="3"/>
        <v>50</v>
      </c>
      <c r="I20" s="85">
        <f t="shared" si="2"/>
        <v>0</v>
      </c>
      <c r="J20" s="36"/>
      <c r="K20" s="37"/>
      <c r="L20" s="38"/>
      <c r="M20" s="39"/>
      <c r="N20" s="40"/>
      <c r="O20" s="41"/>
    </row>
    <row r="21" spans="1:16" x14ac:dyDescent="0.8">
      <c r="A21" s="11"/>
      <c r="B21" s="12">
        <v>0</v>
      </c>
      <c r="C21" s="13" t="s">
        <v>75</v>
      </c>
      <c r="D21" s="83"/>
      <c r="E21" s="43"/>
      <c r="F21" s="84">
        <v>23</v>
      </c>
      <c r="G21" s="33">
        <f t="shared" si="1"/>
        <v>0</v>
      </c>
      <c r="H21" s="34">
        <f t="shared" si="3"/>
        <v>50</v>
      </c>
      <c r="I21" s="85">
        <f t="shared" si="2"/>
        <v>0</v>
      </c>
      <c r="J21" s="36"/>
      <c r="K21" s="37"/>
      <c r="L21" s="38"/>
      <c r="M21" s="39"/>
      <c r="N21" s="40"/>
      <c r="O21" s="86"/>
    </row>
    <row r="22" spans="1:16" x14ac:dyDescent="0.8">
      <c r="A22" s="11"/>
      <c r="B22" s="12">
        <v>0</v>
      </c>
      <c r="C22" s="13" t="s">
        <v>76</v>
      </c>
      <c r="D22" s="83"/>
      <c r="E22" s="43"/>
      <c r="F22" s="84">
        <v>100</v>
      </c>
      <c r="G22" s="33">
        <f t="shared" si="1"/>
        <v>0</v>
      </c>
      <c r="H22" s="34">
        <f t="shared" si="3"/>
        <v>50</v>
      </c>
      <c r="I22" s="85">
        <f t="shared" si="2"/>
        <v>0</v>
      </c>
      <c r="J22" s="36"/>
      <c r="K22" s="37"/>
      <c r="L22" s="38"/>
      <c r="M22" s="39"/>
      <c r="N22" s="40"/>
      <c r="O22" s="86"/>
    </row>
    <row r="23" spans="1:16" x14ac:dyDescent="0.8">
      <c r="A23" s="11"/>
      <c r="B23" s="12">
        <v>0</v>
      </c>
      <c r="C23" s="13" t="s">
        <v>77</v>
      </c>
      <c r="D23" s="83"/>
      <c r="E23" s="43"/>
      <c r="F23" s="84">
        <v>13.97</v>
      </c>
      <c r="G23" s="33">
        <f t="shared" si="1"/>
        <v>0</v>
      </c>
      <c r="H23" s="34">
        <f t="shared" si="3"/>
        <v>50</v>
      </c>
      <c r="I23" s="85">
        <f t="shared" si="2"/>
        <v>0</v>
      </c>
      <c r="J23" s="36"/>
      <c r="K23" s="37"/>
      <c r="L23" s="38"/>
      <c r="M23" s="39"/>
      <c r="N23" s="40"/>
      <c r="O23" s="86"/>
    </row>
    <row r="24" spans="1:16" x14ac:dyDescent="0.8">
      <c r="A24" s="11"/>
      <c r="B24" s="12">
        <v>0</v>
      </c>
      <c r="C24" s="13" t="s">
        <v>78</v>
      </c>
      <c r="D24" s="83"/>
      <c r="E24" s="43"/>
      <c r="F24" s="84">
        <v>900</v>
      </c>
      <c r="G24" s="33">
        <f t="shared" si="1"/>
        <v>0</v>
      </c>
      <c r="H24" s="34">
        <f t="shared" si="3"/>
        <v>50</v>
      </c>
      <c r="I24" s="85">
        <f t="shared" si="2"/>
        <v>0</v>
      </c>
      <c r="J24" s="36"/>
      <c r="K24" s="37"/>
      <c r="L24" s="38"/>
      <c r="M24" s="39"/>
      <c r="N24" s="40"/>
      <c r="O24" s="86"/>
    </row>
    <row r="25" spans="1:16" x14ac:dyDescent="0.8">
      <c r="A25" s="11"/>
      <c r="B25" s="12">
        <v>0</v>
      </c>
      <c r="C25" s="13" t="s">
        <v>81</v>
      </c>
      <c r="D25" s="83" t="s">
        <v>53</v>
      </c>
      <c r="E25" s="43"/>
      <c r="F25" s="84">
        <v>900</v>
      </c>
      <c r="G25" s="33">
        <f t="shared" si="1"/>
        <v>0</v>
      </c>
      <c r="H25" s="34">
        <f t="shared" si="3"/>
        <v>50</v>
      </c>
      <c r="I25" s="85">
        <f t="shared" si="2"/>
        <v>0</v>
      </c>
      <c r="J25" s="36"/>
      <c r="K25" s="37"/>
      <c r="L25" s="38"/>
      <c r="M25" s="39"/>
      <c r="N25" s="40"/>
      <c r="O25" s="86"/>
    </row>
    <row r="26" spans="1:16" x14ac:dyDescent="0.8">
      <c r="A26" s="11"/>
      <c r="B26" s="12">
        <v>0</v>
      </c>
      <c r="C26" s="13" t="s">
        <v>70</v>
      </c>
      <c r="D26" s="83"/>
      <c r="E26" s="43"/>
      <c r="F26" s="84">
        <v>5</v>
      </c>
      <c r="G26" s="33">
        <f t="shared" si="1"/>
        <v>0</v>
      </c>
      <c r="H26" s="34">
        <f t="shared" si="3"/>
        <v>50</v>
      </c>
      <c r="I26" s="85">
        <f t="shared" si="2"/>
        <v>0</v>
      </c>
      <c r="J26" s="36"/>
      <c r="K26" s="37"/>
      <c r="L26" s="38"/>
      <c r="M26" s="39"/>
      <c r="N26" s="40"/>
      <c r="O26" s="86"/>
    </row>
    <row r="27" spans="1:16" x14ac:dyDescent="0.8">
      <c r="A27" s="11"/>
      <c r="B27" s="12">
        <v>0</v>
      </c>
      <c r="C27" s="13" t="s">
        <v>64</v>
      </c>
      <c r="D27" s="83" t="s">
        <v>53</v>
      </c>
      <c r="E27" s="43"/>
      <c r="F27" s="84">
        <v>650</v>
      </c>
      <c r="G27" s="33">
        <f t="shared" si="1"/>
        <v>0</v>
      </c>
      <c r="H27" s="34">
        <f t="shared" si="3"/>
        <v>50</v>
      </c>
      <c r="I27" s="85">
        <f t="shared" si="2"/>
        <v>0</v>
      </c>
      <c r="J27" s="36"/>
      <c r="K27" s="37"/>
      <c r="L27" s="38"/>
      <c r="M27" s="39"/>
      <c r="N27" s="40"/>
      <c r="O27" s="86"/>
    </row>
    <row r="28" spans="1:16" x14ac:dyDescent="0.8">
      <c r="A28" s="11"/>
      <c r="B28" s="12">
        <v>0</v>
      </c>
      <c r="C28" s="13" t="s">
        <v>65</v>
      </c>
      <c r="D28" s="83"/>
      <c r="E28" s="43"/>
      <c r="F28" s="94">
        <v>3500</v>
      </c>
      <c r="G28" s="33">
        <f t="shared" si="1"/>
        <v>0</v>
      </c>
      <c r="H28" s="34">
        <f t="shared" si="3"/>
        <v>50</v>
      </c>
      <c r="I28" s="85">
        <f t="shared" si="2"/>
        <v>0</v>
      </c>
      <c r="J28" s="36"/>
      <c r="K28" s="37"/>
      <c r="L28" s="38"/>
      <c r="M28" s="39"/>
      <c r="N28" s="40"/>
      <c r="O28" s="86"/>
      <c r="P28" s="89"/>
    </row>
    <row r="29" spans="1:16" x14ac:dyDescent="0.8">
      <c r="A29" s="11"/>
      <c r="B29" s="12">
        <v>0</v>
      </c>
      <c r="C29" s="13" t="s">
        <v>72</v>
      </c>
      <c r="D29" s="83"/>
      <c r="E29" s="43" t="s">
        <v>71</v>
      </c>
      <c r="F29" s="84">
        <v>838</v>
      </c>
      <c r="G29" s="33">
        <f t="shared" si="1"/>
        <v>0</v>
      </c>
      <c r="H29" s="34">
        <f t="shared" si="3"/>
        <v>50</v>
      </c>
      <c r="I29" s="85">
        <f t="shared" si="2"/>
        <v>0</v>
      </c>
      <c r="J29" s="36"/>
      <c r="K29" s="37"/>
      <c r="L29" s="38"/>
      <c r="M29" s="39"/>
      <c r="N29" s="40"/>
      <c r="O29" s="86"/>
      <c r="P29" s="89"/>
    </row>
    <row r="30" spans="1:16" x14ac:dyDescent="0.8">
      <c r="A30" s="11"/>
      <c r="B30" s="12">
        <v>0</v>
      </c>
      <c r="C30" s="13" t="s">
        <v>73</v>
      </c>
      <c r="D30" s="83"/>
      <c r="E30" s="43"/>
      <c r="F30" s="84">
        <v>1100</v>
      </c>
      <c r="G30" s="33">
        <f t="shared" si="1"/>
        <v>0</v>
      </c>
      <c r="H30" s="34">
        <f t="shared" si="3"/>
        <v>50</v>
      </c>
      <c r="I30" s="85">
        <f t="shared" si="2"/>
        <v>0</v>
      </c>
      <c r="J30" s="36"/>
      <c r="K30" s="37"/>
      <c r="L30" s="38"/>
      <c r="M30" s="39"/>
      <c r="N30" s="40"/>
      <c r="O30" s="86"/>
      <c r="P30" s="89"/>
    </row>
    <row r="31" spans="1:16" x14ac:dyDescent="0.8">
      <c r="A31" s="11"/>
      <c r="B31" s="12">
        <v>0</v>
      </c>
      <c r="C31" s="13" t="s">
        <v>62</v>
      </c>
      <c r="D31" s="83"/>
      <c r="E31" s="43"/>
      <c r="F31" s="94">
        <v>2000</v>
      </c>
      <c r="G31" s="33">
        <f t="shared" si="1"/>
        <v>0</v>
      </c>
      <c r="H31" s="34">
        <f t="shared" si="3"/>
        <v>50</v>
      </c>
      <c r="I31" s="85">
        <f t="shared" si="2"/>
        <v>0</v>
      </c>
      <c r="J31" s="36"/>
      <c r="K31" s="37"/>
      <c r="L31" s="38"/>
      <c r="M31" s="39"/>
      <c r="N31" s="40"/>
      <c r="O31" s="86"/>
      <c r="P31" s="89"/>
    </row>
    <row r="32" spans="1:16" x14ac:dyDescent="0.8">
      <c r="A32" s="11"/>
      <c r="B32" s="12">
        <v>0</v>
      </c>
      <c r="C32" s="13" t="s">
        <v>51</v>
      </c>
      <c r="D32" s="83"/>
      <c r="E32" s="43"/>
      <c r="F32" s="84">
        <v>1000</v>
      </c>
      <c r="G32" s="33">
        <f t="shared" si="1"/>
        <v>0</v>
      </c>
      <c r="H32" s="34">
        <f t="shared" si="3"/>
        <v>50</v>
      </c>
      <c r="I32" s="85">
        <f t="shared" ref="I32" si="4">((H32/100)+1)*F32*B32</f>
        <v>0</v>
      </c>
      <c r="J32" s="36"/>
      <c r="K32" s="37"/>
      <c r="L32" s="38"/>
      <c r="M32" s="39"/>
      <c r="N32" s="40"/>
      <c r="O32" s="86"/>
      <c r="P32" s="89"/>
    </row>
    <row r="33" spans="1:16" ht="27.5" x14ac:dyDescent="0.8">
      <c r="A33" s="14"/>
      <c r="B33" s="133" t="s">
        <v>48</v>
      </c>
      <c r="C33" s="134"/>
      <c r="D33" s="134"/>
      <c r="E33" s="134"/>
      <c r="F33" s="134"/>
      <c r="G33" s="134"/>
      <c r="H33" s="134"/>
      <c r="I33" s="135"/>
      <c r="J33" s="36"/>
      <c r="K33" s="37"/>
      <c r="L33" s="38"/>
      <c r="M33" s="39"/>
      <c r="N33" s="40"/>
      <c r="O33" s="40"/>
      <c r="P33" s="42"/>
    </row>
    <row r="34" spans="1:16" x14ac:dyDescent="0.8">
      <c r="A34" s="14"/>
      <c r="B34" s="12"/>
      <c r="E34" s="43"/>
      <c r="F34" s="44"/>
      <c r="G34" s="33">
        <f t="shared" ref="G34:G45" si="5">F34*B34</f>
        <v>0</v>
      </c>
      <c r="H34" s="34"/>
      <c r="I34" s="35">
        <f t="shared" ref="I34:I45" si="6">((H34/100)+1)*G34</f>
        <v>0</v>
      </c>
      <c r="J34" s="36"/>
      <c r="K34" s="37"/>
      <c r="L34" s="38"/>
      <c r="M34" s="39"/>
      <c r="N34" s="40"/>
      <c r="O34" s="40"/>
      <c r="P34" s="42"/>
    </row>
    <row r="35" spans="1:16" x14ac:dyDescent="0.8">
      <c r="A35" s="14"/>
      <c r="B35" s="119">
        <v>12</v>
      </c>
      <c r="C35" s="16" t="s">
        <v>35</v>
      </c>
      <c r="D35" s="15" t="s">
        <v>33</v>
      </c>
      <c r="E35" s="43"/>
      <c r="F35" s="44">
        <v>325</v>
      </c>
      <c r="G35" s="33">
        <f t="shared" si="5"/>
        <v>3900</v>
      </c>
      <c r="H35" s="34">
        <f>+H15</f>
        <v>50</v>
      </c>
      <c r="I35" s="35">
        <f t="shared" si="6"/>
        <v>5850</v>
      </c>
      <c r="J35" s="36"/>
      <c r="K35" s="37"/>
      <c r="L35" s="38"/>
      <c r="M35" s="39"/>
      <c r="N35" s="40"/>
      <c r="O35" s="40"/>
      <c r="P35" s="42"/>
    </row>
    <row r="36" spans="1:16" x14ac:dyDescent="0.8">
      <c r="A36" s="14"/>
      <c r="B36" s="12">
        <v>5</v>
      </c>
      <c r="C36" s="16" t="s">
        <v>36</v>
      </c>
      <c r="D36" s="15" t="s">
        <v>33</v>
      </c>
      <c r="E36" s="43"/>
      <c r="F36" s="96">
        <v>325</v>
      </c>
      <c r="G36" s="33"/>
      <c r="H36" s="34">
        <f>+H35</f>
        <v>50</v>
      </c>
      <c r="I36" s="35">
        <f t="shared" si="6"/>
        <v>0</v>
      </c>
      <c r="J36" s="36"/>
      <c r="K36" s="37"/>
      <c r="L36" s="38"/>
      <c r="M36" s="39"/>
      <c r="N36" s="40"/>
      <c r="O36" s="40"/>
      <c r="P36" s="42"/>
    </row>
    <row r="37" spans="1:16" x14ac:dyDescent="0.8">
      <c r="A37" s="14"/>
      <c r="B37" s="12">
        <v>1200</v>
      </c>
      <c r="C37" s="16" t="s">
        <v>43</v>
      </c>
      <c r="D37" s="15" t="s">
        <v>56</v>
      </c>
      <c r="E37" s="43"/>
      <c r="F37" s="44">
        <v>0.45</v>
      </c>
      <c r="G37" s="35">
        <f t="shared" si="5"/>
        <v>540</v>
      </c>
      <c r="H37" s="34">
        <f t="shared" ref="H37:H44" si="7">+H36</f>
        <v>50</v>
      </c>
      <c r="I37" s="35">
        <f t="shared" si="6"/>
        <v>810</v>
      </c>
      <c r="J37" s="36"/>
      <c r="K37" s="37"/>
      <c r="L37" s="38"/>
      <c r="M37" s="39"/>
      <c r="N37" s="40"/>
      <c r="O37" s="40"/>
      <c r="P37" s="42"/>
    </row>
    <row r="38" spans="1:16" x14ac:dyDescent="0.8">
      <c r="A38" s="14"/>
      <c r="B38" s="12">
        <v>12</v>
      </c>
      <c r="C38" s="16" t="s">
        <v>41</v>
      </c>
      <c r="D38" s="15" t="s">
        <v>42</v>
      </c>
      <c r="E38" s="43"/>
      <c r="F38" s="96">
        <v>125</v>
      </c>
      <c r="G38" s="35">
        <f t="shared" si="5"/>
        <v>1500</v>
      </c>
      <c r="H38" s="34">
        <f t="shared" si="7"/>
        <v>50</v>
      </c>
      <c r="I38" s="35">
        <f t="shared" si="6"/>
        <v>2250</v>
      </c>
      <c r="J38" s="36"/>
      <c r="K38" s="37"/>
      <c r="L38" s="38"/>
      <c r="M38" s="39"/>
      <c r="N38" s="40"/>
      <c r="O38" s="40"/>
      <c r="P38" s="42"/>
    </row>
    <row r="39" spans="1:16" x14ac:dyDescent="0.8">
      <c r="A39" s="14"/>
      <c r="B39" s="12">
        <v>0</v>
      </c>
      <c r="C39" s="16" t="s">
        <v>10</v>
      </c>
      <c r="D39" s="15" t="s">
        <v>33</v>
      </c>
      <c r="E39" s="43"/>
      <c r="F39" s="44">
        <v>350</v>
      </c>
      <c r="G39" s="33">
        <f t="shared" si="5"/>
        <v>0</v>
      </c>
      <c r="H39" s="34">
        <f t="shared" si="7"/>
        <v>50</v>
      </c>
      <c r="I39" s="35">
        <f t="shared" si="6"/>
        <v>0</v>
      </c>
      <c r="J39" s="36"/>
      <c r="K39" s="37"/>
      <c r="L39" s="38"/>
      <c r="M39" s="39"/>
      <c r="N39" s="40"/>
      <c r="O39" s="40"/>
      <c r="P39" s="42"/>
    </row>
    <row r="40" spans="1:16" x14ac:dyDescent="0.8">
      <c r="A40" s="14"/>
      <c r="B40" s="12">
        <v>1</v>
      </c>
      <c r="C40" s="16" t="s">
        <v>11</v>
      </c>
      <c r="D40" s="15" t="s">
        <v>33</v>
      </c>
      <c r="E40" s="43"/>
      <c r="F40" s="44">
        <v>350</v>
      </c>
      <c r="G40" s="33">
        <f t="shared" si="5"/>
        <v>350</v>
      </c>
      <c r="H40" s="34">
        <f t="shared" si="7"/>
        <v>50</v>
      </c>
      <c r="I40" s="35">
        <f t="shared" si="6"/>
        <v>525</v>
      </c>
      <c r="J40" s="36"/>
      <c r="K40" s="37"/>
      <c r="L40" s="38"/>
      <c r="M40" s="39"/>
      <c r="N40" s="40"/>
      <c r="O40" s="40"/>
      <c r="P40" s="42"/>
    </row>
    <row r="41" spans="1:16" x14ac:dyDescent="0.8">
      <c r="A41" s="14"/>
      <c r="B41" s="12">
        <v>2</v>
      </c>
      <c r="C41" s="16" t="s">
        <v>12</v>
      </c>
      <c r="D41" s="15" t="s">
        <v>33</v>
      </c>
      <c r="E41" s="43"/>
      <c r="F41" s="44">
        <v>350</v>
      </c>
      <c r="G41" s="33">
        <f t="shared" si="5"/>
        <v>700</v>
      </c>
      <c r="H41" s="34">
        <f t="shared" si="7"/>
        <v>50</v>
      </c>
      <c r="I41" s="35">
        <f t="shared" si="6"/>
        <v>1050</v>
      </c>
      <c r="J41" s="36"/>
      <c r="K41" s="37"/>
      <c r="L41" s="38"/>
      <c r="M41" s="39"/>
      <c r="N41" s="40"/>
      <c r="O41" s="40"/>
      <c r="P41" s="42"/>
    </row>
    <row r="42" spans="1:16" x14ac:dyDescent="0.8">
      <c r="A42" s="14"/>
      <c r="B42" s="12"/>
      <c r="C42" s="16" t="s">
        <v>13</v>
      </c>
      <c r="D42" s="15" t="s">
        <v>33</v>
      </c>
      <c r="E42" s="43"/>
      <c r="F42" s="44">
        <v>400</v>
      </c>
      <c r="G42" s="33">
        <f t="shared" si="5"/>
        <v>0</v>
      </c>
      <c r="H42" s="34">
        <f t="shared" si="7"/>
        <v>50</v>
      </c>
      <c r="I42" s="35">
        <f t="shared" si="6"/>
        <v>0</v>
      </c>
      <c r="J42" s="36"/>
      <c r="K42" s="37"/>
      <c r="L42" s="38"/>
      <c r="M42" s="39"/>
      <c r="N42" s="40"/>
      <c r="O42" s="40"/>
      <c r="P42" s="42"/>
    </row>
    <row r="43" spans="1:16" x14ac:dyDescent="0.8">
      <c r="A43" s="14"/>
      <c r="B43" s="12"/>
      <c r="C43" s="16" t="s">
        <v>14</v>
      </c>
      <c r="D43" s="15" t="s">
        <v>33</v>
      </c>
      <c r="E43" s="43"/>
      <c r="F43" s="44">
        <v>350</v>
      </c>
      <c r="G43" s="33">
        <f t="shared" si="5"/>
        <v>0</v>
      </c>
      <c r="H43" s="34">
        <f t="shared" si="7"/>
        <v>50</v>
      </c>
      <c r="I43" s="35">
        <f t="shared" si="6"/>
        <v>0</v>
      </c>
      <c r="J43" s="36"/>
      <c r="K43" s="37"/>
      <c r="L43" s="38"/>
      <c r="M43" s="39"/>
      <c r="N43" s="40"/>
      <c r="O43" s="40"/>
      <c r="P43" s="42"/>
    </row>
    <row r="44" spans="1:16" x14ac:dyDescent="0.8">
      <c r="A44" s="14"/>
      <c r="B44" s="12">
        <v>1</v>
      </c>
      <c r="C44" s="16" t="s">
        <v>37</v>
      </c>
      <c r="D44" s="32"/>
      <c r="E44" s="43"/>
      <c r="F44" s="44">
        <v>75</v>
      </c>
      <c r="G44" s="33">
        <f t="shared" si="5"/>
        <v>75</v>
      </c>
      <c r="H44" s="34">
        <f t="shared" si="7"/>
        <v>50</v>
      </c>
      <c r="I44" s="35">
        <f t="shared" si="6"/>
        <v>112.5</v>
      </c>
      <c r="J44" s="36"/>
      <c r="K44" s="37"/>
      <c r="L44" s="38"/>
      <c r="M44" s="39"/>
      <c r="N44" s="40"/>
      <c r="O44" s="40"/>
      <c r="P44" s="42"/>
    </row>
    <row r="45" spans="1:16" x14ac:dyDescent="0.8">
      <c r="A45" s="14"/>
      <c r="B45" s="12"/>
      <c r="C45" s="15"/>
      <c r="D45" s="32"/>
      <c r="E45" s="43"/>
      <c r="F45" s="44"/>
      <c r="G45" s="35">
        <f t="shared" si="5"/>
        <v>0</v>
      </c>
      <c r="H45" s="34"/>
      <c r="I45" s="35">
        <f t="shared" si="6"/>
        <v>0</v>
      </c>
      <c r="J45" s="36"/>
      <c r="K45" s="37"/>
      <c r="L45" s="38"/>
      <c r="M45" s="39"/>
      <c r="N45" s="40"/>
      <c r="O45" s="40"/>
      <c r="P45" s="42"/>
    </row>
    <row r="46" spans="1:16" x14ac:dyDescent="0.8">
      <c r="A46" s="14"/>
      <c r="B46" s="12"/>
      <c r="C46" s="16" t="s">
        <v>15</v>
      </c>
      <c r="D46" s="32"/>
      <c r="E46" s="43"/>
      <c r="F46" s="44"/>
      <c r="G46" s="45">
        <f>SUM(G11:G45)</f>
        <v>7065</v>
      </c>
      <c r="H46" s="46"/>
      <c r="I46" s="47">
        <f>SUM(I11:I45)</f>
        <v>10597.5</v>
      </c>
      <c r="J46" s="36"/>
      <c r="K46" s="37"/>
      <c r="L46" s="38"/>
      <c r="M46" s="39"/>
      <c r="N46" s="40"/>
      <c r="O46" s="40"/>
      <c r="P46" s="42"/>
    </row>
    <row r="47" spans="1:16" x14ac:dyDescent="0.8">
      <c r="A47" s="14"/>
      <c r="B47" s="12"/>
      <c r="C47" s="16"/>
      <c r="D47" s="32"/>
      <c r="E47" s="43"/>
      <c r="F47" s="44"/>
      <c r="G47" s="45"/>
      <c r="H47" s="46"/>
      <c r="I47" s="47"/>
      <c r="J47" s="36"/>
      <c r="K47" s="37"/>
      <c r="L47" s="38"/>
      <c r="M47" s="39"/>
      <c r="N47" s="40"/>
      <c r="O47" s="40"/>
      <c r="P47" s="42"/>
    </row>
    <row r="48" spans="1:16" x14ac:dyDescent="0.8">
      <c r="A48" s="14"/>
      <c r="B48" s="12">
        <v>1</v>
      </c>
      <c r="C48" s="16" t="s">
        <v>34</v>
      </c>
      <c r="D48" s="32"/>
      <c r="E48" s="43"/>
      <c r="F48" s="44"/>
      <c r="G48" s="45"/>
      <c r="H48" s="34">
        <v>8.36</v>
      </c>
      <c r="I48" s="47">
        <f>(H48/100)*I46</f>
        <v>885.95099999999991</v>
      </c>
      <c r="J48" s="36"/>
      <c r="K48" s="37"/>
      <c r="L48" s="38"/>
      <c r="M48" s="39"/>
      <c r="N48" s="40"/>
      <c r="O48" s="40"/>
      <c r="P48" s="42"/>
    </row>
    <row r="49" spans="1:16" x14ac:dyDescent="0.8">
      <c r="A49" s="14"/>
      <c r="B49" s="12"/>
      <c r="C49" s="17" t="s">
        <v>57</v>
      </c>
      <c r="D49" s="32"/>
      <c r="E49" s="43"/>
      <c r="F49" s="44"/>
      <c r="G49" s="45"/>
      <c r="H49" s="34">
        <v>1</v>
      </c>
      <c r="I49" s="47">
        <f>(H49/100)*I46</f>
        <v>105.97500000000001</v>
      </c>
      <c r="J49" s="36"/>
      <c r="K49" s="37"/>
      <c r="L49" s="38"/>
      <c r="M49" s="39"/>
      <c r="N49" s="40"/>
      <c r="O49" s="40"/>
      <c r="P49" s="42"/>
    </row>
    <row r="50" spans="1:16" x14ac:dyDescent="0.8">
      <c r="A50" s="14"/>
      <c r="B50" s="12"/>
      <c r="C50" s="17" t="s">
        <v>9</v>
      </c>
      <c r="D50" s="51"/>
      <c r="E50" s="52"/>
      <c r="F50" s="44"/>
      <c r="G50" s="48"/>
      <c r="H50" s="49"/>
      <c r="I50" s="50">
        <f>((H50/100)*(I46+I48))</f>
        <v>0</v>
      </c>
      <c r="J50" s="53"/>
      <c r="K50" s="54"/>
      <c r="L50" s="55"/>
      <c r="M50" s="56"/>
      <c r="N50" s="57"/>
      <c r="O50" s="57"/>
      <c r="P50" s="42"/>
    </row>
    <row r="51" spans="1:16" ht="24" x14ac:dyDescent="0.8">
      <c r="A51" s="18"/>
      <c r="B51" s="18"/>
      <c r="C51" s="19"/>
      <c r="D51" s="72"/>
      <c r="E51" s="72"/>
      <c r="F51" s="73" t="s">
        <v>21</v>
      </c>
      <c r="G51" s="58">
        <f>SUM(G46:G49)</f>
        <v>7065</v>
      </c>
      <c r="H51" s="59"/>
      <c r="I51" s="76">
        <f>I46+I48-I50+I49</f>
        <v>11589.425999999999</v>
      </c>
      <c r="J51" s="60"/>
      <c r="K51" s="20"/>
      <c r="L51" s="21"/>
      <c r="M51" s="61">
        <f>SUM(M11:M49)</f>
        <v>0</v>
      </c>
      <c r="N51" s="62"/>
      <c r="O51" s="62"/>
      <c r="P51" s="115">
        <v>11870</v>
      </c>
    </row>
    <row r="52" spans="1:16" x14ac:dyDescent="0.8">
      <c r="D52" s="136" t="s">
        <v>31</v>
      </c>
      <c r="E52" s="136"/>
      <c r="F52" s="136"/>
      <c r="G52" s="74" t="s">
        <v>29</v>
      </c>
      <c r="H52" s="74"/>
      <c r="I52" s="65">
        <f>I51-G51</f>
        <v>4524.4259999999995</v>
      </c>
      <c r="J52" s="66"/>
      <c r="K52" s="67" t="s">
        <v>30</v>
      </c>
      <c r="L52" s="64" t="s">
        <v>29</v>
      </c>
      <c r="M52" s="68">
        <f>K7-M51</f>
        <v>0</v>
      </c>
      <c r="N52" s="137"/>
      <c r="O52" s="138"/>
      <c r="P52" s="63"/>
    </row>
    <row r="53" spans="1:16" x14ac:dyDescent="0.8">
      <c r="C53" s="22"/>
      <c r="D53" s="121" t="s">
        <v>32</v>
      </c>
      <c r="E53" s="121"/>
      <c r="F53" s="121"/>
      <c r="G53" s="75" t="s">
        <v>28</v>
      </c>
      <c r="H53" s="75"/>
      <c r="I53" s="70">
        <f>(I51-G51)/I51</f>
        <v>0.39039258717386</v>
      </c>
      <c r="J53" s="66"/>
      <c r="K53" s="67" t="s">
        <v>30</v>
      </c>
      <c r="L53" s="69" t="s">
        <v>28</v>
      </c>
      <c r="M53" s="71" t="e">
        <f>(K7-M51)/K7</f>
        <v>#DIV/0!</v>
      </c>
      <c r="N53" s="122"/>
      <c r="O53" s="123"/>
      <c r="P53" s="63"/>
    </row>
    <row r="54" spans="1:16" x14ac:dyDescent="0.8">
      <c r="C54" s="22"/>
      <c r="D54" s="23"/>
      <c r="E54" s="22"/>
      <c r="F54" s="22"/>
      <c r="G54" s="124"/>
      <c r="H54" s="124"/>
      <c r="I54" s="24"/>
    </row>
  </sheetData>
  <mergeCells count="35">
    <mergeCell ref="B3:I3"/>
    <mergeCell ref="J3:O3"/>
    <mergeCell ref="C4:F5"/>
    <mergeCell ref="H4:I4"/>
    <mergeCell ref="K4:M4"/>
    <mergeCell ref="H5:I5"/>
    <mergeCell ref="K5:M5"/>
    <mergeCell ref="F8:F9"/>
    <mergeCell ref="A6:B7"/>
    <mergeCell ref="C6:F7"/>
    <mergeCell ref="H6:I6"/>
    <mergeCell ref="K6:M6"/>
    <mergeCell ref="H7:I7"/>
    <mergeCell ref="K7:M7"/>
    <mergeCell ref="A8:A9"/>
    <mergeCell ref="B8:B9"/>
    <mergeCell ref="C8:C9"/>
    <mergeCell ref="D8:D9"/>
    <mergeCell ref="E8:E9"/>
    <mergeCell ref="D53:F53"/>
    <mergeCell ref="N53:O53"/>
    <mergeCell ref="G54:H54"/>
    <mergeCell ref="M8:M9"/>
    <mergeCell ref="N8:N9"/>
    <mergeCell ref="O8:O9"/>
    <mergeCell ref="B10:I10"/>
    <mergeCell ref="B33:I33"/>
    <mergeCell ref="D52:F52"/>
    <mergeCell ref="N52:O52"/>
    <mergeCell ref="G8:G9"/>
    <mergeCell ref="H8:H9"/>
    <mergeCell ref="I8:I9"/>
    <mergeCell ref="J8:J9"/>
    <mergeCell ref="K8:K9"/>
    <mergeCell ref="L8:L9"/>
  </mergeCells>
  <pageMargins left="0.47244094488188981" right="0.19685039370078741" top="0.70866141732283472" bottom="0.78740157480314965" header="0.51181102362204722" footer="0.51181102362204722"/>
  <pageSetup paperSize="8" orientation="landscape" horizontalDpi="300" verticalDpi="300" r:id="rId1"/>
  <headerFooter alignWithMargins="0">
    <oddFooter>&amp;CSO &amp;P of &amp;N&amp;  Date:&amp;D</oddFooter>
  </headerFooter>
  <rowBreaks count="1" manualBreakCount="1">
    <brk id="45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7B3D-A483-4878-8A72-F962BFDECD35}">
  <dimension ref="A1"/>
  <sheetViews>
    <sheetView topLeftCell="A11" zoomScale="70" zoomScaleNormal="70" workbookViewId="0">
      <selection activeCell="L31" sqref="L31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58AD-30EB-48DA-A899-B423E31225B8}">
  <dimension ref="A36"/>
  <sheetViews>
    <sheetView showGridLines="0" topLeftCell="A4" zoomScale="60" zoomScaleNormal="60" workbookViewId="0">
      <selection activeCell="AB29" sqref="AB29:AB30"/>
    </sheetView>
  </sheetViews>
  <sheetFormatPr defaultRowHeight="12.5" x14ac:dyDescent="0.25"/>
  <sheetData>
    <row r="36" ht="38.25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4A17-5FA5-449D-9AC4-89BD85CD3147}">
  <dimension ref="B3:T9"/>
  <sheetViews>
    <sheetView showGridLines="0" workbookViewId="0">
      <selection activeCell="E17" sqref="E17"/>
    </sheetView>
  </sheetViews>
  <sheetFormatPr defaultRowHeight="12.5" x14ac:dyDescent="0.25"/>
  <cols>
    <col min="2" max="2" width="25" customWidth="1"/>
    <col min="3" max="14" width="3.1796875" customWidth="1"/>
    <col min="15" max="20" width="3.7265625" customWidth="1"/>
  </cols>
  <sheetData>
    <row r="3" spans="2:20" x14ac:dyDescent="0.25">
      <c r="B3" s="90">
        <v>0</v>
      </c>
      <c r="C3" s="90">
        <v>0</v>
      </c>
      <c r="D3" s="90">
        <v>1</v>
      </c>
      <c r="E3" s="90">
        <v>2</v>
      </c>
      <c r="F3" s="90">
        <v>3</v>
      </c>
      <c r="G3" s="90">
        <v>4</v>
      </c>
      <c r="H3" s="90">
        <v>5</v>
      </c>
      <c r="I3" s="90">
        <v>6</v>
      </c>
      <c r="J3" s="90">
        <v>7</v>
      </c>
      <c r="K3" s="90">
        <v>8</v>
      </c>
      <c r="L3" s="90">
        <v>9</v>
      </c>
      <c r="M3" s="90">
        <v>10</v>
      </c>
      <c r="N3" s="90">
        <v>11</v>
      </c>
      <c r="O3" s="90">
        <v>12</v>
      </c>
      <c r="P3" s="90">
        <v>13</v>
      </c>
      <c r="Q3" s="90">
        <v>14</v>
      </c>
      <c r="R3" s="90">
        <v>15</v>
      </c>
      <c r="S3" s="90">
        <v>16</v>
      </c>
      <c r="T3" s="90">
        <v>17</v>
      </c>
    </row>
    <row r="4" spans="2:20" x14ac:dyDescent="0.25">
      <c r="B4" s="88" t="s">
        <v>60</v>
      </c>
      <c r="C4" s="91"/>
      <c r="D4" s="90"/>
      <c r="E4" s="90"/>
      <c r="F4" s="90"/>
      <c r="G4" s="92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</row>
    <row r="5" spans="2:20" x14ac:dyDescent="0.25">
      <c r="B5" s="88" t="s">
        <v>58</v>
      </c>
      <c r="C5" s="88"/>
      <c r="D5" s="90"/>
      <c r="E5" s="91"/>
      <c r="F5" s="90"/>
      <c r="H5" s="90"/>
      <c r="I5" s="92"/>
      <c r="J5" s="90"/>
      <c r="L5" s="90"/>
      <c r="M5" s="90"/>
      <c r="N5" s="90"/>
      <c r="O5" s="90"/>
      <c r="P5" s="90"/>
      <c r="Q5" s="90"/>
      <c r="R5" s="90"/>
      <c r="S5" s="90"/>
      <c r="T5" s="90"/>
    </row>
    <row r="6" spans="2:20" x14ac:dyDescent="0.25">
      <c r="B6" s="88" t="s">
        <v>59</v>
      </c>
      <c r="C6" s="88"/>
      <c r="D6" s="90"/>
      <c r="E6" s="91"/>
      <c r="F6" s="90"/>
      <c r="G6" s="90"/>
      <c r="H6" s="90"/>
      <c r="I6" s="90"/>
      <c r="J6" s="92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2:20" x14ac:dyDescent="0.25">
      <c r="B7" s="88" t="s">
        <v>61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1"/>
      <c r="N7" s="90"/>
      <c r="O7" s="90"/>
      <c r="P7" s="90"/>
      <c r="Q7" s="90"/>
      <c r="R7" s="90"/>
      <c r="S7" s="90"/>
      <c r="T7" s="90"/>
    </row>
    <row r="8" spans="2:20" x14ac:dyDescent="0.25"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</row>
    <row r="9" spans="2:20" x14ac:dyDescent="0.25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RO</vt:lpstr>
      <vt:lpstr>Labour</vt:lpstr>
      <vt:lpstr>ecosoft Quote</vt:lpstr>
      <vt:lpstr>P&amp;ID</vt:lpstr>
      <vt:lpstr>Sheet1</vt:lpstr>
    </vt:vector>
  </TitlesOfParts>
  <Company>Membracon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Spencer</dc:creator>
  <cp:lastModifiedBy>Matt Williams</cp:lastModifiedBy>
  <cp:lastPrinted>2014-11-06T15:08:20Z</cp:lastPrinted>
  <dcterms:created xsi:type="dcterms:W3CDTF">1997-01-15T16:55:30Z</dcterms:created>
  <dcterms:modified xsi:type="dcterms:W3CDTF">2026-01-19T14:01:21Z</dcterms:modified>
</cp:coreProperties>
</file>